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ef4489071c4c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hop" sheetId="1" r:id="Raa9a343b9c464e40"/>
    <x:sheet xmlns:r="http://schemas.openxmlformats.org/officeDocument/2006/relationships" name="Dia ban" sheetId="2" r:id="Rfaab91c9335741cc"/>
    <x:sheet xmlns:r="http://schemas.openxmlformats.org/officeDocument/2006/relationships" name="Nguon" sheetId="3" r:id="R5148c90c90ea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+0.00;-0.00;0.00"/>
  </x:numFmts>
  <x:fonts count="5">
    <x:font>
      <x:sz val="11"/>
      <x:name val="Carlito"/>
    </x:font>
    <x:font>
      <x:sz val="11"/>
      <x:color rgb="FF162B35"/>
      <x:name val="Arial"/>
    </x:font>
    <x:font>
      <x:b/>
      <x:sz val="16"/>
      <x:color rgb="FF162B35"/>
      <x:name val="Arial"/>
    </x:font>
    <x:font>
      <x:i/>
      <x:sz val="11"/>
      <x:color rgb="FF485F68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2B35"/>
      </x:patternFill>
    </x:fill>
    <x:fill>
      <x:patternFill patternType="solid">
        <x:fgColor rgb="FFFFF0CB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162B35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5dff7fbfdb4421" /><Relationship Type="http://schemas.openxmlformats.org/officeDocument/2006/relationships/theme" Target="/xl/theme/theme1.xml" Id="R38c7bfa23d364f5d" /><Relationship Type="http://schemas.openxmlformats.org/officeDocument/2006/relationships/sharedStrings" Target="/xl/sharedStrings.xml" Id="R2d84218089d84ebe" /><Relationship Type="http://schemas.openxmlformats.org/officeDocument/2006/relationships/worksheet" Target="/xl/worksheets/sheet1.xml" Id="Raa9a343b9c464e40" /><Relationship Type="http://schemas.openxmlformats.org/officeDocument/2006/relationships/worksheet" Target="/xl/worksheets/sheet2.xml" Id="Rfaab91c9335741cc" /><Relationship Type="http://schemas.openxmlformats.org/officeDocument/2006/relationships/worksheet" Target="/xl/worksheets/sheet3.xml" Id="R5148c90c90ea4d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2B35"/>
  </x:sheetPr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4" t="str">
        <x:v>Chuyên cần và phạm vi thử nghiệm có điều kiện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6" t="str">
        <x:v>England. Thu 2024/25 so với thu 2025/26. Phạm vi primary và secondary. Đề xuất chưa triển khai.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0" customHeight="1">
      <x:c r="A6" s="10" t="str">
        <x:v>Nhóm</x:v>
      </x:c>
      <x:c r="B6" s="10" t="str">
        <x:v>Ghi danh 24/25</x:v>
      </x:c>
      <x:c r="C6" s="10" t="str">
        <x:v>Ghi danh 25/26</x:v>
      </x:c>
      <x:c r="D6" s="10" t="str">
        <x:v>PA 24/25</x:v>
      </x:c>
      <x:c r="E6" s="10" t="str">
        <x:v>PA 25/26</x:v>
      </x:c>
      <x:c r="F6" s="10" t="str">
        <x:v>Δ PA điểm %</x:v>
      </x:c>
      <x:c r="G6" s="10" t="str">
        <x:v>SV 24/25</x:v>
      </x:c>
      <x:c r="H6" s="10" t="str">
        <x:v>SV 25/26</x:v>
      </x:c>
      <x:c r="I6" s="10" t="str">
        <x:v>Δ SV điểm %</x:v>
      </x:c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26" customHeight="1">
      <x:c r="A7" s="2" t="str">
        <x:v>Tiểu học</x:v>
      </x:c>
      <x:c r="B7" s="11" t="n">
        <x:f>SUMIFS(Nguon!$D$8:$D$311,Nguon!$B$8:$B$311,"State-funded primary")</x:f>
        <x:v>3792736</x:v>
      </x:c>
      <x:c r="C7" s="11" t="n">
        <x:f>SUMIFS(Nguon!$E$8:$E$311,Nguon!$B$8:$B$311,"State-funded primary")</x:f>
        <x:v>3723143</x:v>
      </x:c>
      <x:c r="D7" s="12" t="n">
        <x:f>SUMIFS(Nguon!$F$8:$F$311,Nguon!$B$8:$B$311,"State-funded primary")/B7</x:f>
        <x:v>0.14289499717354437</x:v>
      </x:c>
      <x:c r="E7" s="12" t="n">
        <x:f>SUMIFS(Nguon!$G$8:$G$311,Nguon!$B$8:$B$311,"State-funded primary")/C7</x:f>
        <x:v>0.1438789753710776</x:v>
      </x:c>
      <x:c r="F7" s="13" t="n">
        <x:f>(E7-D7)*100</x:f>
        <x:v>0.09839781975332362</x:v>
      </x:c>
      <x:c r="G7" s="12" t="n">
        <x:f>SUMIFS(Nguon!$H$8:$H$311,Nguon!$B$8:$B$311,"State-funded primary")/B7</x:f>
        <x:v>0.008934710984365903</x:v>
      </x:c>
      <x:c r="H7" s="12" t="n">
        <x:f>SUMIFS(Nguon!$I$8:$I$311,Nguon!$B$8:$B$311,"State-funded primary")/C7</x:f>
        <x:v>0.010231140732440306</x:v>
      </x:c>
      <x:c r="I7" s="13" t="n">
        <x:f>(H7-G7)*100</x:f>
        <x:v>0.12964297480744028</x:v>
      </x:c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 ht="26" customHeight="1">
      <x:c r="A8" s="2" t="str">
        <x:v>Trung học</x:v>
      </x:c>
      <x:c r="B8" s="11" t="n">
        <x:f>SUMIFS(Nguon!$D$8:$D$311,Nguon!$B$8:$B$311,"State-funded secondary")</x:f>
        <x:v>3282144</x:v>
      </x:c>
      <x:c r="C8" s="11" t="n">
        <x:f>SUMIFS(Nguon!$E$8:$E$311,Nguon!$B$8:$B$311,"State-funded secondary")</x:f>
        <x:v>3271301</x:v>
      </x:c>
      <x:c r="D8" s="12" t="n">
        <x:f>SUMIFS(Nguon!$F$8:$F$311,Nguon!$B$8:$B$311,"State-funded secondary")/B8</x:f>
        <x:v>0.2108588166759289</x:v>
      </x:c>
      <x:c r="E8" s="12" t="n">
        <x:f>SUMIFS(Nguon!$G$8:$G$311,Nguon!$B$8:$B$311,"State-funded secondary")/C8</x:f>
        <x:v>0.21531219536202875</x:v>
      </x:c>
      <x:c r="F8" s="13" t="n">
        <x:f>(E8-D8)*100</x:f>
        <x:v>0.44533786860998514</x:v>
      </x:c>
      <x:c r="G8" s="12" t="n">
        <x:f>SUMIFS(Nguon!$H$8:$H$311,Nguon!$B$8:$B$311,"State-funded secondary")/B8</x:f>
        <x:v>0.03189043503271033</x:v>
      </x:c>
      <x:c r="H8" s="12" t="n">
        <x:f>SUMIFS(Nguon!$I$8:$I$311,Nguon!$B$8:$B$311,"State-funded secondary")/C8</x:f>
        <x:v>0.03157275958403094</x:v>
      </x:c>
      <x:c r="I8" s="13" t="n">
        <x:f>(H8-G8)*100</x:f>
        <x:v>-0.03176754486793887</x:v>
      </x:c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 ht="26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 ht="26" customHeight="1">
      <x:c r="A10" s="2" t="str">
        <x:v>PA = lượt ghi danh vắng ≥10% / tổng lượt ghi danh. SV = vắng ≥50%, nằm trong PA.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6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6" customHeight="1">
      <x:c r="A12" s="10" t="str">
        <x:v>Nhóm</x:v>
      </x:c>
      <x:c r="B12" s="10" t="str">
        <x:v>Số địa bàn</x:v>
      </x:c>
      <x:c r="C12" s="10" t="str">
        <x:v>PA tăng</x:v>
      </x:c>
      <x:c r="D12" s="10" t="str">
        <x:v>SV tăng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6" customHeight="1">
      <x:c r="A13" s="2" t="str">
        <x:v>Tiểu học</x:v>
      </x:c>
      <x:c r="B13" s="2" t="n">
        <x:f>COUNTIFS('Dia ban'!$B$7:$B$310,A13)</x:f>
        <x:v>152</x:v>
      </x:c>
      <x:c r="C13" s="2" t="n">
        <x:f>COUNTIFS('Dia ban'!$B$7:$B$310,A13,'Dia ban'!$F$7:$F$310,"&gt;0")</x:f>
        <x:v>81</x:v>
      </x:c>
      <x:c r="D13" s="2" t="n">
        <x:f>COUNTIFS('Dia ban'!$B$7:$B$310,A13,'Dia ban'!$I$7:$I$310,"&gt;0")</x:f>
        <x:v>131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6" customHeight="1">
      <x:c r="A14" s="2" t="str">
        <x:v>Trung học</x:v>
      </x:c>
      <x:c r="B14" s="2" t="n">
        <x:f>COUNTIFS('Dia ban'!$B$7:$B$310,A14)</x:f>
        <x:v>152</x:v>
      </x:c>
      <x:c r="C14" s="2" t="n">
        <x:f>COUNTIFS('Dia ban'!$B$7:$B$310,A14,'Dia ban'!$F$7:$F$310,"&gt;0")</x:f>
        <x:v>100</x:v>
      </x:c>
      <x:c r="D14" s="2" t="n">
        <x:f>COUNTIFS('Dia ban'!$B$7:$B$310,A14,'Dia ban'!$I$7:$I$310,"&gt;0")</x:f>
        <x:v>71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6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6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42" customHeight="1">
      <x:c r="A17" s="10" t="str">
        <x:v>Địa bàn trung học</x:v>
      </x:c>
      <x:c r="B17" s="10" t="str">
        <x:v>PA 24/25</x:v>
      </x:c>
      <x:c r="C17" s="10" t="str">
        <x:v>PA 25/26</x:v>
      </x:c>
      <x:c r="D17" s="10" t="str">
        <x:v>Δ PA điểm %</x:v>
      </x:c>
      <x:c r="E17" s="10" t="str">
        <x:v>SV 25/26</x:v>
      </x:c>
      <x:c r="F17" s="10" t="str">
        <x:v>10–&lt;50% ghi danh</x:v>
      </x:c>
      <x:c r="G17" s="10" t="str">
        <x:v>Ốm / buổi</x:v>
      </x:c>
      <x:c r="H17" s="10" t="str">
        <x:v>Không phép khác / buổi</x:v>
      </x:c>
      <x:c r="I17" s="10" t="str">
        <x:v>Trường nguồn</x:v>
      </x:c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6" customHeight="1">
      <x:c r="A18" s="2" t="str">
        <x:v>Knowsley</x:v>
      </x:c>
      <x:c r="B18" s="12" t="n">
        <x:f>'Dia ban'!D153</x:f>
        <x:v>0.29753168779186123</x:v>
      </x:c>
      <x:c r="C18" s="12" t="n">
        <x:f>'Dia ban'!E153</x:f>
        <x:v>0.32667997338656024</x:v>
      </x:c>
      <x:c r="D18" s="13" t="n">
        <x:f>'Dia ban'!F153</x:f>
        <x:v>2.9148285594699006</x:v>
      </x:c>
      <x:c r="E18" s="12" t="n">
        <x:f>'Dia ban'!H153</x:f>
        <x:v>0.04973386560212908</x:v>
      </x:c>
      <x:c r="F18" s="11" t="n">
        <x:f>'Dia ban'!J153</x:f>
        <x:v>1665</x:v>
      </x:c>
      <x:c r="G18" s="12" t="n">
        <x:f>'Dia ban'!K153</x:f>
        <x:v>0.02393719357775681</x:v>
      </x:c>
      <x:c r="H18" s="12" t="n">
        <x:f>'Dia ban'!L153</x:f>
        <x:v>0.0595126606182374</x:v>
      </x:c>
      <x:c r="I18" s="2" t="n">
        <x:f>Nguon!P154</x:f>
        <x:v>6</x:v>
      </x:c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6" customHeight="1">
      <x:c r="A19" s="2" t="str">
        <x:v>North East Lincolnshire</x:v>
      </x:c>
      <x:c r="B19" s="12" t="n">
        <x:f>'Dia ban'!D30</x:f>
        <x:v>0.26031746031746034</x:v>
      </x:c>
      <x:c r="C19" s="12" t="n">
        <x:f>'Dia ban'!E30</x:f>
        <x:v>0.3022893976439209</x:v>
      </x:c>
      <x:c r="D19" s="13" t="n">
        <x:f>'Dia ban'!F30</x:f>
        <x:v>4.197193732646054</x:v>
      </x:c>
      <x:c r="E19" s="12" t="n">
        <x:f>'Dia ban'!H30</x:f>
        <x:v>0.047566125805734605</x:v>
      </x:c>
      <x:c r="F19" s="11" t="n">
        <x:f>'Dia ban'!J30</x:f>
        <x:v>2292</x:v>
      </x:c>
      <x:c r="G19" s="12" t="n">
        <x:f>'Dia ban'!K30</x:f>
        <x:v>0.04177125609631322</x:v>
      </x:c>
      <x:c r="H19" s="12" t="n">
        <x:f>'Dia ban'!L30</x:f>
        <x:v>0.033318270181780976</x:v>
      </x:c>
      <x:c r="I19" s="2" t="n">
        <x:f>Nguon!P31</x:f>
        <x:v>10</x:v>
      </x:c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6" customHeight="1">
      <x:c r="A20" s="2" t="str">
        <x:v>Blackburn with Darwen</x:v>
      </x:c>
      <x:c r="B20" s="12" t="n">
        <x:f>'Dia ban'!D22</x:f>
        <x:v>0.19469901168014375</x:v>
      </x:c>
      <x:c r="C20" s="12" t="n">
        <x:f>'Dia ban'!E22</x:f>
        <x:v>0.24417656122541467</x:v>
      </x:c>
      <x:c r="D20" s="13" t="n">
        <x:f>'Dia ban'!F22</x:f>
        <x:v>4.947754954527092</x:v>
      </x:c>
      <x:c r="E20" s="12" t="n">
        <x:f>'Dia ban'!H22</x:f>
        <x:v>0.032810658932294026</x:v>
      </x:c>
      <x:c r="F20" s="11" t="n">
        <x:f>'Dia ban'!J22</x:f>
        <x:v>2332</x:v>
      </x:c>
      <x:c r="G20" s="12" t="n">
        <x:f>'Dia ban'!K22</x:f>
        <x:v>0.03976171062744073</x:v>
      </x:c>
      <x:c r="H20" s="12" t="n">
        <x:f>'Dia ban'!L22</x:f>
        <x:v>0.021867250296171165</x:v>
      </x:c>
      <x:c r="I20" s="2" t="n">
        <x:f>Nguon!P23</x:f>
        <x:v>12</x:v>
      </x:c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6" customHeight="1">
      <x:c r="A21" s="2" t="str">
        <x:v>England</x:v>
      </x:c>
      <x:c r="B21" s="12" t="n">
        <x:f>D8</x:f>
        <x:v>0.2108588166759289</x:v>
      </x:c>
      <x:c r="C21" s="12" t="n">
        <x:f>E8</x:f>
        <x:v>0.21531219536202875</x:v>
      </x:c>
      <x:c r="D21" s="13" t="n">
        <x:f>F8</x:f>
        <x:v>0.44533786860998514</x:v>
      </x:c>
      <x:c r="E21" s="12" t="n">
        <x:f>H8</x:f>
        <x:v>0.03157275958403094</x:v>
      </x:c>
      <x:c r="F21" s="11" t="n">
        <x:f>SUMIFS(Nguon!$G$8:$G$311,Nguon!$B$8:$B$311,"State-funded secondary")-SUMIFS(Nguon!$I$8:$I$311,Nguon!$B$8:$B$311,"State-funded secondary")</x:f>
        <x:v>601067</x:v>
      </x:c>
      <x:c r="G21" s="12" t="n">
        <x:f>SUMIFS(Nguon!$N$8:$N$311,Nguon!$B$8:$B$311,"State-funded secondary")/SUMIFS(Nguon!$K$8:$K$311,Nguon!$B$8:$B$311,"State-funded secondary")</x:f>
        <x:v>0.03780318683477603</x:v>
      </x:c>
      <x:c r="H21" s="12" t="n">
        <x:f>SUMIFS(Nguon!$O$8:$O$311,Nguon!$B$8:$B$311,"State-funded secondary")/SUMIFS(Nguon!$K$8:$K$311,Nguon!$B$8:$B$311,"State-funded secondary")</x:f>
        <x:v>0.02131878905136139</x:v>
      </x:c>
      <x:c r="I21" s="2" t="n">
        <x:f>SUMIFS(Nguon!$P$8:$P$311,Nguon!$B$8:$B$311,"State-funded secondary")</x:f>
        <x:v>3419</x:v>
      </x:c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6" customHeight="1">
      <x:c r="A22" s="2" t="str">
        <x:v>Chọn: PA cao nhất, cao thứ hai kèm tăng mạnh, và PA tăng nhanh nhất trong 152 địa bàn trung học.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6" customHeight="1">
      <x:c r="A23" s="2" t="str">
        <x:v>Ưu tiên tìm đối tác. Chỉ số nguồn và số trường nguồn chưa xác nhận khả năng hợp tác hoặc gia đình sẵn sàng.</x:v>
      </x:c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6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6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6" customHeight="1">
      <x:c r="A26" s="10" t="str">
        <x:v>Giới hạn giả lập</x:v>
      </x:c>
      <x:c r="B26" s="10" t="str">
        <x:v>Giá trị</x:v>
      </x:c>
      <x:c r="C26" s="10" t="str">
        <x:v>Đơn vị</x:v>
      </x:c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6" customHeight="1">
      <x:c r="A27" s="2" t="str">
        <x:v>Tổng nhân sự</x:v>
      </x:c>
      <x:c r="B27" s="15" t="n">
        <x:v>12</x:v>
      </x:c>
      <x:c r="C27" s="2" t="str">
        <x:v>người</x:v>
      </x:c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6" customHeight="1">
      <x:c r="A28" s="2" t="str">
        <x:v>Nhân sự mỗi nhóm</x:v>
      </x:c>
      <x:c r="B28" s="15" t="n">
        <x:v>4</x:v>
      </x:c>
      <x:c r="C28" s="2" t="str">
        <x:v>người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6" customHeight="1">
      <x:c r="A29" s="2" t="str">
        <x:v>Gia đình đồng thời / nhân sự</x:v>
      </x:c>
      <x:c r="B29" s="15" t="n">
        <x:v>15</x:v>
      </x:c>
      <x:c r="C29" s="2" t="str">
        <x:v>gia đình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6" customHeight="1">
      <x:c r="A30" s="2" t="str">
        <x:v>Trường tối đa / địa bàn</x:v>
      </x:c>
      <x:c r="B30" s="15" t="n">
        <x:v>4</x:v>
      </x:c>
      <x:c r="C30" s="2" t="str">
        <x:v>trường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6" customHeight="1">
      <x:c r="A31" s="2" t="str">
        <x:v>Trần mỗi địa bàn</x:v>
      </x:c>
      <x:c r="B31" s="15" t="n">
        <x:v>70000</x:v>
      </x:c>
      <x:c r="C31" s="2" t="str">
        <x:v>GBP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6" customHeight="1">
      <x:c r="A32" s="2" t="str">
        <x:v>Ngân sách toàn bộ</x:v>
      </x:c>
      <x:c r="B32" s="15" t="n">
        <x:v>210000</x:v>
      </x:c>
      <x:c r="C32" s="2" t="str">
        <x:v>GBP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6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6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43" customHeight="1">
      <x:c r="A35" s="10" t="str">
        <x:v>Số nhóm giả lập</x:v>
      </x:c>
      <x:c r="B35" s="10" t="str">
        <x:v>Nhân sự</x:v>
      </x:c>
      <x:c r="C35" s="10" t="str">
        <x:v>Gia đình đồng thời tối đa</x:v>
      </x:c>
      <x:c r="D35" s="10" t="str">
        <x:v>Trần chi GBP</x:v>
      </x:c>
      <x:c r="E35" s="10" t="str">
        <x:v>Nhân sự còn lại</x:v>
      </x:c>
      <x:c r="F35" s="10" t="str">
        <x:v>GBP chưa phân bổ</x:v>
      </x:c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6" customHeight="1">
      <x:c r="A36" s="2" t="n">
        <x:v>0</x:v>
      </x:c>
      <x:c r="B36" s="11" t="n">
        <x:f>A36*$B$28</x:f>
        <x:v>0</x:v>
      </x:c>
      <x:c r="C36" s="11" t="n">
        <x:f>B36*$B$29</x:f>
        <x:v>0</x:v>
      </x:c>
      <x:c r="D36" s="11" t="n">
        <x:f>A36*$B$31</x:f>
        <x:v>0</x:v>
      </x:c>
      <x:c r="E36" s="11" t="n">
        <x:f>$B$27-B36</x:f>
        <x:v>12</x:v>
      </x:c>
      <x:c r="F36" s="11" t="n">
        <x:f>$B$32-D36</x:f>
        <x:v>210000</x:v>
      </x:c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6" customHeight="1">
      <x:c r="A37" s="2" t="n">
        <x:v>1</x:v>
      </x:c>
      <x:c r="B37" s="11" t="n">
        <x:f>A37*$B$28</x:f>
        <x:v>4</x:v>
      </x:c>
      <x:c r="C37" s="11" t="n">
        <x:f>B37*$B$29</x:f>
        <x:v>60</x:v>
      </x:c>
      <x:c r="D37" s="11" t="n">
        <x:f>A37*$B$31</x:f>
        <x:v>70000</x:v>
      </x:c>
      <x:c r="E37" s="11" t="n">
        <x:f>$B$27-B37</x:f>
        <x:v>8</x:v>
      </x:c>
      <x:c r="F37" s="11" t="n">
        <x:f>$B$32-D37</x:f>
        <x:v>140000</x:v>
      </x:c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6" customHeight="1">
      <x:c r="A38" s="2" t="n">
        <x:v>3</x:v>
      </x:c>
      <x:c r="B38" s="11" t="n">
        <x:f>A38*$B$28</x:f>
        <x:v>12</x:v>
      </x:c>
      <x:c r="C38" s="11" t="n">
        <x:f>B38*$B$29</x:f>
        <x:v>180</x:v>
      </x:c>
      <x:c r="D38" s="11" t="n">
        <x:f>A38*$B$31</x:f>
        <x:v>210000</x:v>
      </x:c>
      <x:c r="E38" s="11" t="n">
        <x:f>$B$27-B38</x:f>
        <x:v>0</x:v>
      </x:c>
      <x:c r="F38" s="11" t="n">
        <x:f>$B$32-D38</x:f>
        <x:v>0</x:v>
      </x:c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6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6" customHeight="1">
      <x:c r="A40" s="2" t="str">
        <x:v>Đề xuất: một nhóm tại một địa bàn sau khi đủ điều kiện. Cột gia đình là trần đồng thời, không phải tổng học kỳ.</x:v>
      </x:c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6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6" customHeight="1">
      <x:c r="A42" s="2" t="str">
        <x:v>Cập nhật: xem README.md. Phải kiểm tra mã địa bàn, kỳ, định nghĩa và trạng thái nguồn trước khi chạy lại.</x:v>
      </x:c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6" customHeight="1">
      <x:c r="A43" s="2" t="str">
        <x:v>Dữ liệu học kỳ chỉ là chỉ báo. Chưa xác minh đối tác, nhân sự được phân công, chi phí địa phương hoặc hiệu quả can thiệp.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6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6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6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6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6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6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6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6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6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6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6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6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6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6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6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6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6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6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6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6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6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6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6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26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26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26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26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26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26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26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26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26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26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26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26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26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26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26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26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26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26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26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26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26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26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26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26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26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26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26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26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26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26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26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26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26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26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26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26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26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26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26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26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26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26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26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26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 ht="26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 ht="26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 ht="26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 ht="26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 ht="26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 ht="26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 ht="26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 ht="26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 ht="26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 ht="26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 ht="26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 ht="26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 ht="26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 ht="26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 ht="26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 ht="26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 ht="26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 ht="26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 ht="26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 ht="26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 ht="26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 ht="26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 ht="26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 ht="26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 ht="26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 ht="26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 ht="26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 ht="26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 ht="26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 ht="26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 ht="26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 ht="26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 ht="26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 ht="26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 ht="26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 ht="26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 ht="26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 ht="26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 ht="26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 ht="26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 ht="26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 ht="26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 ht="26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 ht="26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 ht="26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 ht="26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 ht="26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 ht="26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 ht="26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 ht="26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 ht="26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 ht="26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 ht="26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 ht="26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 ht="26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 ht="26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 ht="26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 ht="26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 ht="26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 ht="26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 ht="26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 ht="26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 ht="26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 ht="26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 ht="26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 ht="26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 ht="26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 ht="26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 ht="26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 ht="26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 ht="26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 ht="26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 ht="26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 ht="26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 ht="26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 ht="26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 ht="26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 ht="26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 ht="26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 ht="26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 ht="26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 ht="26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 ht="26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 ht="26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 ht="26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 ht="26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 ht="26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 ht="26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 ht="26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 ht="26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 ht="26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</x:row>
    <x:row r="202" ht="26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 ht="26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 ht="26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 ht="26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 ht="26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</x:row>
    <x:row r="207" ht="26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</x:row>
    <x:row r="208" ht="26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</x:row>
    <x:row r="209" ht="26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</x:row>
    <x:row r="210" ht="26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</x:row>
    <x:row r="211" ht="26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</x:row>
    <x:row r="212" ht="26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</x:row>
    <x:row r="213" ht="26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</x:row>
    <x:row r="214" ht="26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</x:row>
    <x:row r="215" ht="26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</x:row>
    <x:row r="216" ht="26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</x:row>
    <x:row r="217" ht="26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</x:row>
    <x:row r="218" ht="26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</x:row>
    <x:row r="219" ht="26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</x:row>
    <x:row r="220" ht="26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</x:row>
    <x:row r="221" ht="26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</x:row>
    <x:row r="222" ht="26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</x:row>
    <x:row r="223" ht="26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</x:row>
    <x:row r="224" ht="26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</x:row>
    <x:row r="225" ht="26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</x:row>
    <x:row r="226" ht="26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</x:row>
    <x:row r="227" ht="26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</x:row>
    <x:row r="228" ht="26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</x:row>
    <x:row r="229" ht="26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</x:row>
    <x:row r="230" ht="26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</x:row>
    <x:row r="231" ht="26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</x:row>
    <x:row r="232" ht="26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</x:row>
    <x:row r="233" ht="26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</x:row>
    <x:row r="234" ht="26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</x:row>
    <x:row r="235" ht="26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</x:row>
    <x:row r="236" ht="26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</x:row>
    <x:row r="237" ht="26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</x:row>
    <x:row r="238" ht="26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</x:row>
    <x:row r="239" ht="26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</x:row>
    <x:row r="240" ht="26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</x:row>
    <x:row r="241" ht="26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</x:row>
    <x:row r="242" ht="26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</x:row>
    <x:row r="243" ht="26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</x:row>
    <x:row r="244" ht="26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</x:row>
    <x:row r="245" ht="26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</x:row>
    <x:row r="246" ht="26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</x:row>
    <x:row r="247" ht="26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</x:row>
    <x:row r="248" ht="26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</x:row>
    <x:row r="249" ht="26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</x:row>
    <x:row r="250" ht="26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</x:row>
    <x:row r="251" ht="26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</x:row>
    <x:row r="252" ht="26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</x:row>
    <x:row r="253" ht="26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</x:row>
    <x:row r="254" ht="26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</x:row>
    <x:row r="255" ht="26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  <x:c r="M255" s="2"/>
      <x:c r="N255" s="2"/>
      <x:c r="O255" s="2"/>
      <x:c r="P255" s="2"/>
      <x:c r="Q255" s="2"/>
      <x:c r="R255" s="2"/>
      <x:c r="S255" s="2"/>
      <x:c r="T255" s="2"/>
      <x:c r="U255" s="2"/>
    </x:row>
    <x:row r="256" ht="26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</x:row>
    <x:row r="257" ht="26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</x:row>
    <x:row r="258" ht="26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</x:row>
    <x:row r="259" ht="26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</x:row>
    <x:row r="260" ht="26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</x:row>
    <x:row r="261" ht="26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</x:row>
    <x:row r="262" ht="26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</x:row>
    <x:row r="263" ht="26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</x:row>
    <x:row r="264" ht="26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</x:row>
    <x:row r="265" ht="26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</x:row>
    <x:row r="266" ht="26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</x:row>
    <x:row r="267" ht="26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</x:row>
    <x:row r="268" ht="26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</x:row>
    <x:row r="269" ht="26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</x:row>
    <x:row r="270" ht="26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</x:row>
    <x:row r="271" ht="26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</x:row>
    <x:row r="272" ht="26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  <x:c r="M272" s="2"/>
      <x:c r="N272" s="2"/>
      <x:c r="O272" s="2"/>
      <x:c r="P272" s="2"/>
      <x:c r="Q272" s="2"/>
      <x:c r="R272" s="2"/>
      <x:c r="S272" s="2"/>
      <x:c r="T272" s="2"/>
      <x:c r="U272" s="2"/>
    </x:row>
    <x:row r="273" ht="26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</x:row>
    <x:row r="274" ht="26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</x:row>
    <x:row r="275" ht="26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</x:row>
    <x:row r="276" ht="26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</x:row>
    <x:row r="277" ht="26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</x:row>
    <x:row r="278" ht="26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</x:row>
    <x:row r="279" ht="26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</x:row>
    <x:row r="280" ht="26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</x:row>
    <x:row r="281" ht="26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</x:row>
    <x:row r="282" ht="26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</x:row>
    <x:row r="283" ht="26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</x:row>
    <x:row r="284" ht="26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</x:row>
    <x:row r="285" ht="26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</x:row>
    <x:row r="286" ht="26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</x:row>
    <x:row r="287" ht="26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</x:row>
    <x:row r="288" ht="26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  <x:c r="M288" s="2"/>
      <x:c r="N288" s="2"/>
      <x:c r="O288" s="2"/>
      <x:c r="P288" s="2"/>
      <x:c r="Q288" s="2"/>
      <x:c r="R288" s="2"/>
      <x:c r="S288" s="2"/>
      <x:c r="T288" s="2"/>
      <x:c r="U288" s="2"/>
    </x:row>
    <x:row r="289" ht="26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</x:row>
    <x:row r="290" ht="26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</x:row>
    <x:row r="291" ht="26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</x:row>
    <x:row r="292" ht="26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  <x:c r="M292" s="2"/>
      <x:c r="N292" s="2"/>
      <x:c r="O292" s="2"/>
      <x:c r="P292" s="2"/>
      <x:c r="Q292" s="2"/>
      <x:c r="R292" s="2"/>
      <x:c r="S292" s="2"/>
      <x:c r="T292" s="2"/>
      <x:c r="U292" s="2"/>
    </x:row>
    <x:row r="293" ht="26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  <x:c r="M293" s="2"/>
      <x:c r="N293" s="2"/>
      <x:c r="O293" s="2"/>
      <x:c r="P293" s="2"/>
      <x:c r="Q293" s="2"/>
      <x:c r="R293" s="2"/>
      <x:c r="S293" s="2"/>
      <x:c r="T293" s="2"/>
      <x:c r="U293" s="2"/>
    </x:row>
    <x:row r="294" ht="26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</x:row>
    <x:row r="295" ht="26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</x:row>
    <x:row r="296" ht="26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</x:row>
    <x:row r="297" ht="26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</x:row>
    <x:row r="298" ht="26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</x:row>
    <x:row r="299" ht="26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</x:row>
    <x:row r="300" ht="26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</x:row>
    <x:row r="301" ht="26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</x:row>
    <x:row r="302" ht="26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</x:row>
    <x:row r="303" ht="26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  <x:c r="M303" s="2"/>
      <x:c r="N303" s="2"/>
      <x:c r="O303" s="2"/>
      <x:c r="P303" s="2"/>
      <x:c r="Q303" s="2"/>
      <x:c r="R303" s="2"/>
      <x:c r="S303" s="2"/>
      <x:c r="T303" s="2"/>
      <x:c r="U303" s="2"/>
    </x:row>
    <x:row r="304" ht="26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</x:row>
    <x:row r="305" ht="26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</x:row>
    <x:row r="306" ht="26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</x:row>
    <x:row r="307" ht="26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</x:row>
    <x:row r="308" ht="26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</x:row>
    <x:row r="309" ht="26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</x:row>
    <x:row r="310" ht="26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</x:row>
    <x:row r="311" ht="26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</x:row>
    <x:row r="312" ht="26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</x:row>
    <x:row r="313" ht="26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</x:row>
    <x:row r="314" ht="26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</x:row>
    <x:row r="315" ht="26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</x:row>
    <x:row r="316" ht="26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</x:row>
    <x:row r="317" ht="26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</x:row>
    <x:row r="318" ht="26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</x:row>
    <x:row r="319" ht="26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</x:row>
    <x:row r="320" ht="26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</x:row>
    <x:row r="321" ht="26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</x:row>
    <x:row r="322" ht="26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</x:row>
    <x:row r="323" ht="26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</x:row>
    <x:row r="324" ht="26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</x:row>
    <x:row r="325" ht="26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</x:row>
    <x:row r="326" ht="26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</x:row>
    <x:row r="327" ht="26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</x:row>
    <x:row r="328" ht="26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</x:row>
    <x:row r="329" ht="26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</x:row>
    <x:row r="330" ht="26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3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4" t="str">
        <x:v>Tín hiệu tại toàn bộ địa bàn và hai nhóm trường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 t="str">
        <x:v>PA ≥10% và SV ≥50% là tỷ lệ lượt ghi danh. Delta dùng điểm phần trăm. Lý do vắng dùng số buổi có thể tham dự.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 t="str">
        <x:v>PA gồm SV. Cột 10–&lt;50% = PA trừ SV, vẫn là lượt ghi danh, chưa phải trẻ hay gia đình duy nhất.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 ht="44" customHeight="1">
      <x:c r="A6" s="10" t="str">
        <x:v>Mã LA</x:v>
      </x:c>
      <x:c r="B6" s="10" t="str">
        <x:v>Nhóm</x:v>
      </x:c>
      <x:c r="C6" s="10" t="str">
        <x:v>Địa bàn</x:v>
      </x:c>
      <x:c r="D6" s="10" t="str">
        <x:v>PA 24/25</x:v>
      </x:c>
      <x:c r="E6" s="10" t="str">
        <x:v>PA 25/26</x:v>
      </x:c>
      <x:c r="F6" s="10" t="str">
        <x:v>Δ PA điểm %</x:v>
      </x:c>
      <x:c r="G6" s="10" t="str">
        <x:v>SV 24/25</x:v>
      </x:c>
      <x:c r="H6" s="10" t="str">
        <x:v>SV 25/26</x:v>
      </x:c>
      <x:c r="I6" s="10" t="str">
        <x:v>Δ SV điểm %</x:v>
      </x:c>
      <x:c r="J6" s="10" t="str">
        <x:v>PA 10–&lt;50% 25/26</x:v>
      </x:c>
      <x:c r="K6" s="10" t="str">
        <x:v>Ốm 25/26</x:v>
      </x:c>
      <x:c r="L6" s="10" t="str">
        <x:v>Không phép khác 25/26</x:v>
      </x:c>
      <x:c r="M6" s="2"/>
      <x:c r="N6" s="2"/>
      <x:c r="O6" s="2"/>
      <x:c r="P6" s="2"/>
      <x:c r="Q6" s="2"/>
      <x:c r="R6" s="2"/>
      <x:c r="S6" s="2"/>
      <x:c r="T6" s="2"/>
      <x:c r="U6" s="2"/>
    </x:row>
    <x:row r="7" ht="26" customHeight="1">
      <x:c r="A7" s="2" t="str">
        <x:v>E06000001</x:v>
      </x:c>
      <x:c r="B7" s="2" t="str">
        <x:v>Tiểu học</x:v>
      </x:c>
      <x:c r="C7" s="2" t="str">
        <x:v>Hartlepool</x:v>
      </x:c>
      <x:c r="D7" s="12" t="n">
        <x:f>Nguon!F8/Nguon!D8</x:f>
        <x:v>0.1583109519546404</x:v>
      </x:c>
      <x:c r="E7" s="12" t="n">
        <x:f>Nguon!G8/Nguon!E8</x:f>
        <x:v>0.161775885662156</x:v>
      </x:c>
      <x:c r="F7" s="13" t="n">
        <x:f>(E7-D7)*100</x:f>
        <x:v>0.3464933707515605</x:v>
      </x:c>
      <x:c r="G7" s="12" t="n">
        <x:f>Nguon!H8/Nguon!D8</x:f>
        <x:v>0.00552074007758878</x:v>
      </x:c>
      <x:c r="H7" s="12" t="n">
        <x:f>Nguon!I8/Nguon!E8</x:f>
        <x:v>0.007602250266078759</x:v>
      </x:c>
      <x:c r="I7" s="13" t="n">
        <x:f>(H7-G7)*100</x:f>
        <x:v>0.20815101884899798</x:v>
      </x:c>
      <x:c r="J7" s="11" t="n">
        <x:f>Nguon!G8-Nguon!I8</x:f>
        <x:v>1014</x:v>
      </x:c>
      <x:c r="K7" s="12" t="n">
        <x:f>Nguon!N8/Nguon!K8</x:f>
        <x:v>0.03247109917523728</x:v>
      </x:c>
      <x:c r="L7" s="12" t="n">
        <x:f>Nguon!O8/Nguon!K8</x:f>
        <x:v>0.0074882439582637855</x:v>
      </x:c>
      <x:c r="M7" s="2"/>
      <x:c r="N7" s="2"/>
      <x:c r="O7" s="2"/>
      <x:c r="P7" s="2"/>
      <x:c r="Q7" s="2"/>
      <x:c r="R7" s="2"/>
      <x:c r="S7" s="2"/>
      <x:c r="T7" s="2"/>
      <x:c r="U7" s="2"/>
    </x:row>
    <x:row r="8" ht="26" customHeight="1">
      <x:c r="A8" s="2" t="str">
        <x:v>E06000001</x:v>
      </x:c>
      <x:c r="B8" s="2" t="str">
        <x:v>Trung học</x:v>
      </x:c>
      <x:c r="C8" s="2" t="str">
        <x:v>Hartlepool</x:v>
      </x:c>
      <x:c r="D8" s="12" t="n">
        <x:f>Nguon!F9/Nguon!D9</x:f>
        <x:v>0.25421080048619554</x:v>
      </x:c>
      <x:c r="E8" s="12" t="n">
        <x:f>Nguon!G9/Nguon!E9</x:f>
        <x:v>0.2594736842105263</x:v>
      </x:c>
      <x:c r="F8" s="13" t="n">
        <x:f>(E8-D8)*100</x:f>
        <x:v>0.5262883724330758</x:v>
      </x:c>
      <x:c r="G8" s="12" t="n">
        <x:f>Nguon!H9/Nguon!D9</x:f>
        <x:v>0.040632054176072234</x:v>
      </x:c>
      <x:c r="H8" s="12" t="n">
        <x:f>Nguon!I9/Nguon!E9</x:f>
        <x:v>0.05035087719298246</x:v>
      </x:c>
      <x:c r="I8" s="13" t="n">
        <x:f>(H8-G8)*100</x:f>
        <x:v>0.9718823016910225</x:v>
      </x:c>
      <x:c r="J8" s="11" t="n">
        <x:f>Nguon!G9-Nguon!I9</x:f>
        <x:v>1192</x:v>
      </x:c>
      <x:c r="K8" s="12" t="n">
        <x:f>Nguon!N9/Nguon!K9</x:f>
        <x:v>0.02898131897014548</x:v>
      </x:c>
      <x:c r="L8" s="12" t="n">
        <x:f>Nguon!O9/Nguon!K9</x:f>
        <x:v>0.04019342470599519</x:v>
      </x:c>
      <x:c r="M8" s="2"/>
      <x:c r="N8" s="2"/>
      <x:c r="O8" s="2"/>
      <x:c r="P8" s="2"/>
      <x:c r="Q8" s="2"/>
      <x:c r="R8" s="2"/>
      <x:c r="S8" s="2"/>
      <x:c r="T8" s="2"/>
      <x:c r="U8" s="2"/>
    </x:row>
    <x:row r="9" ht="26" customHeight="1">
      <x:c r="A9" s="2" t="str">
        <x:v>E06000002</x:v>
      </x:c>
      <x:c r="B9" s="2" t="str">
        <x:v>Tiểu học</x:v>
      </x:c>
      <x:c r="C9" s="2" t="str">
        <x:v>Middlesbrough</x:v>
      </x:c>
      <x:c r="D9" s="12" t="n">
        <x:f>Nguon!F10/Nguon!D10</x:f>
        <x:v>0.16839744122289607</x:v>
      </x:c>
      <x:c r="E9" s="12" t="n">
        <x:f>Nguon!G10/Nguon!E10</x:f>
        <x:v>0.16776929601357082</x:v>
      </x:c>
      <x:c r="F9" s="13" t="n">
        <x:f>(E9-D9)*100</x:f>
        <x:v>-0.06281452093252482</x:v>
      </x:c>
      <x:c r="G9" s="12" t="n">
        <x:f>Nguon!H10/Nguon!D10</x:f>
        <x:v>0.011796959375259616</x:v>
      </x:c>
      <x:c r="H9" s="12" t="n">
        <x:f>Nguon!I10/Nguon!E10</x:f>
        <x:v>0.009838846480067854</x:v>
      </x:c>
      <x:c r="I9" s="13" t="n">
        <x:f>(H9-G9)*100</x:f>
        <x:v>-0.19581128951917626</x:v>
      </x:c>
      <x:c r="J9" s="11" t="n">
        <x:f>Nguon!G10-Nguon!I10</x:f>
        <x:v>1862</x:v>
      </x:c>
      <x:c r="K9" s="12" t="n">
        <x:f>Nguon!N10/Nguon!K10</x:f>
        <x:v>0.028165254833198185</x:v>
      </x:c>
      <x:c r="L9" s="12" t="n">
        <x:f>Nguon!O10/Nguon!K10</x:f>
        <x:v>0.01016879164808991</x:v>
      </x:c>
      <x:c r="M9" s="2"/>
      <x:c r="N9" s="2"/>
      <x:c r="O9" s="2"/>
      <x:c r="P9" s="2"/>
      <x:c r="Q9" s="2"/>
      <x:c r="R9" s="2"/>
      <x:c r="S9" s="2"/>
      <x:c r="T9" s="2"/>
      <x:c r="U9" s="2"/>
    </x:row>
    <x:row r="10" ht="26" customHeight="1">
      <x:c r="A10" s="2" t="str">
        <x:v>E06000002</x:v>
      </x:c>
      <x:c r="B10" s="2" t="str">
        <x:v>Trung học</x:v>
      </x:c>
      <x:c r="C10" s="2" t="str">
        <x:v>Middlesbrough</x:v>
      </x:c>
      <x:c r="D10" s="12" t="n">
        <x:f>Nguon!F11/Nguon!D11</x:f>
        <x:v>0.2783139212423738</x:v>
      </x:c>
      <x:c r="E10" s="12" t="n">
        <x:f>Nguon!G11/Nguon!E11</x:f>
        <x:v>0.2784003515710833</x:v>
      </x:c>
      <x:c r="F10" s="13" t="n">
        <x:f>(E10-D10)*100</x:f>
        <x:v>0.008643032870947476</x:v>
      </x:c>
      <x:c r="G10" s="12" t="n">
        <x:f>Nguon!H11/Nguon!D11</x:f>
        <x:v>0.049584026622296176</x:v>
      </x:c>
      <x:c r="H10" s="12" t="n">
        <x:f>Nguon!I11/Nguon!E11</x:f>
        <x:v>0.04240826192045704</x:v>
      </x:c>
      <x:c r="I10" s="13" t="n">
        <x:f>(H10-G10)*100</x:f>
        <x:v>-0.7175764701839137</x:v>
      </x:c>
      <x:c r="J10" s="11" t="n">
        <x:f>Nguon!G11-Nguon!I11</x:f>
        <x:v>2148</x:v>
      </x:c>
      <x:c r="K10" s="12" t="n">
        <x:f>Nguon!N11/Nguon!K11</x:f>
        <x:v>0.028896775537397182</x:v>
      </x:c>
      <x:c r="L10" s="12" t="n">
        <x:f>Nguon!O11/Nguon!K11</x:f>
        <x:v>0.04181990774529305</x:v>
      </x:c>
      <x:c r="M10" s="2"/>
      <x:c r="N10" s="2"/>
      <x:c r="O10" s="2"/>
      <x:c r="P10" s="2"/>
      <x:c r="Q10" s="2"/>
      <x:c r="R10" s="2"/>
      <x:c r="S10" s="2"/>
      <x:c r="T10" s="2"/>
      <x:c r="U10" s="2"/>
    </x:row>
    <x:row r="11" ht="26" customHeight="1">
      <x:c r="A11" s="2" t="str">
        <x:v>E06000003</x:v>
      </x:c>
      <x:c r="B11" s="2" t="str">
        <x:v>Tiểu học</x:v>
      </x:c>
      <x:c r="C11" s="2" t="str">
        <x:v>Redcar and Cleveland</x:v>
      </x:c>
      <x:c r="D11" s="12" t="n">
        <x:f>Nguon!F12/Nguon!D12</x:f>
        <x:v>0.16495528320635972</x:v>
      </x:c>
      <x:c r="E11" s="12" t="n">
        <x:f>Nguon!G12/Nguon!E12</x:f>
        <x:v>0.16776991554439627</x:v>
      </x:c>
      <x:c r="F11" s="13" t="n">
        <x:f>(E11-D11)*100</x:f>
        <x:v>0.28146323380365545</x:v>
      </x:c>
      <x:c r="G11" s="12" t="n">
        <x:f>Nguon!H12/Nguon!D12</x:f>
        <x:v>0.009495417908799823</x:v>
      </x:c>
      <x:c r="H11" s="12" t="n">
        <x:f>Nguon!I12/Nguon!E12</x:f>
        <x:v>0.011641177813284638</x:v>
      </x:c>
      <x:c r="I11" s="13" t="n">
        <x:f>(H11-G11)*100</x:f>
        <x:v>0.21457599044848158</x:v>
      </x:c>
      <x:c r="J11" s="11" t="n">
        <x:f>Nguon!G12-Nguon!I12</x:f>
        <x:v>1368</x:v>
      </x:c>
      <x:c r="K11" s="12" t="n">
        <x:f>Nguon!N12/Nguon!K12</x:f>
        <x:v>0.029522931272626233</x:v>
      </x:c>
      <x:c r="L11" s="12" t="n">
        <x:f>Nguon!O12/Nguon!K12</x:f>
        <x:v>0.010079370512505587</x:v>
      </x:c>
      <x:c r="M11" s="2"/>
      <x:c r="N11" s="2"/>
      <x:c r="O11" s="2"/>
      <x:c r="P11" s="2"/>
      <x:c r="Q11" s="2"/>
      <x:c r="R11" s="2"/>
      <x:c r="S11" s="2"/>
      <x:c r="T11" s="2"/>
      <x:c r="U11" s="2"/>
    </x:row>
    <x:row r="12" ht="26" customHeight="1">
      <x:c r="A12" s="2" t="str">
        <x:v>E06000003</x:v>
      </x:c>
      <x:c r="B12" s="2" t="str">
        <x:v>Trung học</x:v>
      </x:c>
      <x:c r="C12" s="2" t="str">
        <x:v>Redcar and Cleveland</x:v>
      </x:c>
      <x:c r="D12" s="12" t="n">
        <x:f>Nguon!F13/Nguon!D13</x:f>
        <x:v>0.23230273367554016</x:v>
      </x:c>
      <x:c r="E12" s="12" t="n">
        <x:f>Nguon!G13/Nguon!E13</x:f>
        <x:v>0.2684908591229538</x:v>
      </x:c>
      <x:c r="F12" s="13" t="n">
        <x:f>(E12-D12)*100</x:f>
        <x:v>3.6188125447413624</x:v>
      </x:c>
      <x:c r="G12" s="12" t="n">
        <x:f>Nguon!H13/Nguon!D13</x:f>
        <x:v>0.03736421153157455</x:v>
      </x:c>
      <x:c r="H12" s="12" t="n">
        <x:f>Nguon!I13/Nguon!E13</x:f>
        <x:v>0.043613334926514515</x:v>
      </x:c>
      <x:c r="I12" s="13" t="n">
        <x:f>(H12-G12)*100</x:f>
        <x:v>0.6249123394939965</x:v>
      </x:c>
      <x:c r="J12" s="11" t="n">
        <x:f>Nguon!G13-Nguon!I13</x:f>
        <x:v>1882</x:v>
      </x:c>
      <x:c r="K12" s="12" t="n">
        <x:f>Nguon!N13/Nguon!K13</x:f>
        <x:v>0.038145350013617546</x:v>
      </x:c>
      <x:c r="L12" s="12" t="n">
        <x:f>Nguon!O13/Nguon!K13</x:f>
        <x:v>0.03162173445700143</x:v>
      </x:c>
      <x:c r="M12" s="2"/>
      <x:c r="N12" s="2"/>
      <x:c r="O12" s="2"/>
      <x:c r="P12" s="2"/>
      <x:c r="Q12" s="2"/>
      <x:c r="R12" s="2"/>
      <x:c r="S12" s="2"/>
      <x:c r="T12" s="2"/>
      <x:c r="U12" s="2"/>
    </x:row>
    <x:row r="13" ht="26" customHeight="1">
      <x:c r="A13" s="2" t="str">
        <x:v>E06000004</x:v>
      </x:c>
      <x:c r="B13" s="2" t="str">
        <x:v>Tiểu học</x:v>
      </x:c>
      <x:c r="C13" s="2" t="str">
        <x:v>Stockton-on-Tees</x:v>
      </x:c>
      <x:c r="D13" s="12" t="n">
        <x:f>Nguon!F14/Nguon!D14</x:f>
        <x:v>0.14210489849650107</x:v>
      </x:c>
      <x:c r="E13" s="12" t="n">
        <x:f>Nguon!G14/Nguon!E14</x:f>
        <x:v>0.14762679493527622</x:v>
      </x:c>
      <x:c r="F13" s="13" t="n">
        <x:f>(E13-D13)*100</x:f>
        <x:v>0.5521896438775153</x:v>
      </x:c>
      <x:c r="G13" s="12" t="n">
        <x:f>Nguon!H14/Nguon!D14</x:f>
        <x:v>0.006166424166839881</x:v>
      </x:c>
      <x:c r="H13" s="12" t="n">
        <x:f>Nguon!I14/Nguon!E14</x:f>
        <x:v>0.007285845653250336</x:v>
      </x:c>
      <x:c r="I13" s="13" t="n">
        <x:f>(H13-G13)*100</x:f>
        <x:v>0.11194214864104551</x:v>
      </x:c>
      <x:c r="J13" s="11" t="n">
        <x:f>Nguon!G14-Nguon!I14</x:f>
        <x:v>1984</x:v>
      </x:c>
      <x:c r="K13" s="12" t="n">
        <x:f>Nguon!N14/Nguon!K14</x:f>
        <x:v>0.02840585817096386</x:v>
      </x:c>
      <x:c r="L13" s="12" t="n">
        <x:f>Nguon!O14/Nguon!K14</x:f>
        <x:v>0.007002455232138944</x:v>
      </x:c>
      <x:c r="M13" s="2"/>
      <x:c r="N13" s="2"/>
      <x:c r="O13" s="2"/>
      <x:c r="P13" s="2"/>
      <x:c r="Q13" s="2"/>
      <x:c r="R13" s="2"/>
      <x:c r="S13" s="2"/>
      <x:c r="T13" s="2"/>
      <x:c r="U13" s="2"/>
    </x:row>
    <x:row r="14" ht="26" customHeight="1">
      <x:c r="A14" s="2" t="str">
        <x:v>E06000004</x:v>
      </x:c>
      <x:c r="B14" s="2" t="str">
        <x:v>Trung học</x:v>
      </x:c>
      <x:c r="C14" s="2" t="str">
        <x:v>Stockton-on-Tees</x:v>
      </x:c>
      <x:c r="D14" s="12" t="n">
        <x:f>Nguon!F15/Nguon!D15</x:f>
        <x:v>0.2460524173856422</x:v>
      </x:c>
      <x:c r="E14" s="12" t="n">
        <x:f>Nguon!G15/Nguon!E15</x:f>
        <x:v>0.24624896949711458</x:v>
      </x:c>
      <x:c r="F14" s="13" t="n">
        <x:f>(E14-D14)*100</x:f>
        <x:v>0.01965521114723756</x:v>
      </x:c>
      <x:c r="G14" s="12" t="n">
        <x:f>Nguon!H15/Nguon!D15</x:f>
        <x:v>0.04004558033534104</x:v>
      </x:c>
      <x:c r="H14" s="12" t="n">
        <x:f>Nguon!I15/Nguon!E15</x:f>
        <x:v>0.03478977741137675</x:v>
      </x:c>
      <x:c r="I14" s="13" t="n">
        <x:f>(H14-G14)*100</x:f>
        <x:v>-0.5255802923964283</x:v>
      </x:c>
      <x:c r="J14" s="11" t="n">
        <x:f>Nguon!G15-Nguon!I15</x:f>
        <x:v>2565</x:v>
      </x:c>
      <x:c r="K14" s="12" t="n">
        <x:f>Nguon!N15/Nguon!K15</x:f>
        <x:v>0.03173866749146318</x:v>
      </x:c>
      <x:c r="L14" s="12" t="n">
        <x:f>Nguon!O15/Nguon!K15</x:f>
        <x:v>0.03025024160257014</x:v>
      </x:c>
      <x:c r="M14" s="2"/>
      <x:c r="N14" s="2"/>
      <x:c r="O14" s="2"/>
      <x:c r="P14" s="2"/>
      <x:c r="Q14" s="2"/>
      <x:c r="R14" s="2"/>
      <x:c r="S14" s="2"/>
      <x:c r="T14" s="2"/>
      <x:c r="U14" s="2"/>
    </x:row>
    <x:row r="15" ht="26" customHeight="1">
      <x:c r="A15" s="2" t="str">
        <x:v>E06000005</x:v>
      </x:c>
      <x:c r="B15" s="2" t="str">
        <x:v>Tiểu học</x:v>
      </x:c>
      <x:c r="C15" s="2" t="str">
        <x:v>Darlington</x:v>
      </x:c>
      <x:c r="D15" s="12" t="n">
        <x:f>Nguon!F16/Nguon!D16</x:f>
        <x:v>0.16203703703703703</x:v>
      </x:c>
      <x:c r="E15" s="12" t="n">
        <x:f>Nguon!G16/Nguon!E16</x:f>
        <x:v>0.17917085066704921</x:v>
      </x:c>
      <x:c r="F15" s="13" t="n">
        <x:f>(E15-D15)*100</x:f>
        <x:v>1.713381363001218</x:v>
      </x:c>
      <x:c r="G15" s="12" t="n">
        <x:f>Nguon!H16/Nguon!D16</x:f>
        <x:v>0.016133557800224466</x:v>
      </x:c>
      <x:c r="H15" s="12" t="n">
        <x:f>Nguon!I16/Nguon!E16</x:f>
        <x:v>0.010758858126524171</x:v>
      </x:c>
      <x:c r="I15" s="13" t="n">
        <x:f>(H15-G15)*100</x:f>
        <x:v>-0.5374699673700295</x:v>
      </x:c>
      <x:c r="J15" s="11" t="n">
        <x:f>Nguon!G16-Nguon!I16</x:f>
        <x:v>1174</x:v>
      </x:c>
      <x:c r="K15" s="12" t="n">
        <x:f>Nguon!N16/Nguon!K16</x:f>
        <x:v>0.03416657406211613</x:v>
      </x:c>
      <x:c r="L15" s="12" t="n">
        <x:f>Nguon!O16/Nguon!K16</x:f>
        <x:v>0.007167091646468863</x:v>
      </x:c>
      <x:c r="M15" s="2"/>
      <x:c r="N15" s="2"/>
      <x:c r="O15" s="2"/>
      <x:c r="P15" s="2"/>
      <x:c r="Q15" s="2"/>
      <x:c r="R15" s="2"/>
      <x:c r="S15" s="2"/>
      <x:c r="T15" s="2"/>
      <x:c r="U15" s="2"/>
    </x:row>
    <x:row r="16" ht="26" customHeight="1">
      <x:c r="A16" s="2" t="str">
        <x:v>E06000005</x:v>
      </x:c>
      <x:c r="B16" s="2" t="str">
        <x:v>Trung học</x:v>
      </x:c>
      <x:c r="C16" s="2" t="str">
        <x:v>Darlington</x:v>
      </x:c>
      <x:c r="D16" s="12" t="n">
        <x:f>Nguon!F17/Nguon!D17</x:f>
        <x:v>0.23137731833384007</x:v>
      </x:c>
      <x:c r="E16" s="12" t="n">
        <x:f>Nguon!G17/Nguon!E17</x:f>
        <x:v>0.23912704598597037</x:v>
      </x:c>
      <x:c r="F16" s="13" t="n">
        <x:f>(E16-D16)*100</x:f>
        <x:v>0.7749727652130306</x:v>
      </x:c>
      <x:c r="G16" s="12" t="n">
        <x:f>Nguon!H17/Nguon!D17</x:f>
        <x:v>0.0287321374277896</x:v>
      </x:c>
      <x:c r="H16" s="12" t="n">
        <x:f>Nguon!I17/Nguon!E17</x:f>
        <x:v>0.03304754481683554</x:v>
      </x:c>
      <x:c r="I16" s="13" t="n">
        <x:f>(H16-G16)*100</x:f>
        <x:v>0.43154073890459416</x:v>
      </x:c>
      <x:c r="J16" s="11" t="n">
        <x:f>Nguon!G17-Nguon!I17</x:f>
        <x:v>1322</x:v>
      </x:c>
      <x:c r="K16" s="12" t="n">
        <x:f>Nguon!N17/Nguon!K17</x:f>
        <x:v>0.038439556854210896</x:v>
      </x:c>
      <x:c r="L16" s="12" t="n">
        <x:f>Nguon!O17/Nguon!K17</x:f>
        <x:v>0.023106126602619233</x:v>
      </x:c>
      <x:c r="M16" s="2"/>
      <x:c r="N16" s="2"/>
      <x:c r="O16" s="2"/>
      <x:c r="P16" s="2"/>
      <x:c r="Q16" s="2"/>
      <x:c r="R16" s="2"/>
      <x:c r="S16" s="2"/>
      <x:c r="T16" s="2"/>
      <x:c r="U16" s="2"/>
    </x:row>
    <x:row r="17" ht="26" customHeight="1">
      <x:c r="A17" s="2" t="str">
        <x:v>E06000006</x:v>
      </x:c>
      <x:c r="B17" s="2" t="str">
        <x:v>Tiểu học</x:v>
      </x:c>
      <x:c r="C17" s="2" t="str">
        <x:v>Halton</x:v>
      </x:c>
      <x:c r="D17" s="12" t="n">
        <x:f>Nguon!F18/Nguon!D18</x:f>
        <x:v>0.15754560530679934</x:v>
      </x:c>
      <x:c r="E17" s="12" t="n">
        <x:f>Nguon!G18/Nguon!E18</x:f>
        <x:v>0.17031098153547133</x:v>
      </x:c>
      <x:c r="F17" s="13" t="n">
        <x:f>(E17-D17)*100</x:f>
        <x:v>1.2765376228671994</x:v>
      </x:c>
      <x:c r="G17" s="12" t="n">
        <x:f>Nguon!H18/Nguon!D18</x:f>
        <x:v>0.0039090262970859985</x:v>
      </x:c>
      <x:c r="H17" s="12" t="n">
        <x:f>Nguon!I18/Nguon!E18</x:f>
        <x:v>0.006924198250728863</x:v>
      </x:c>
      <x:c r="I17" s="13" t="n">
        <x:f>(H17-G17)*100</x:f>
        <x:v>0.3015171953642865</x:v>
      </x:c>
      <x:c r="J17" s="11" t="n">
        <x:f>Nguon!G18-Nguon!I18</x:f>
        <x:v>1345</x:v>
      </x:c>
      <x:c r="K17" s="12" t="n">
        <x:f>Nguon!N18/Nguon!K18</x:f>
        <x:v>0.03302636947590699</x:v>
      </x:c>
      <x:c r="L17" s="12" t="n">
        <x:f>Nguon!O18/Nguon!K18</x:f>
        <x:v>0.007495074409844877</x:v>
      </x:c>
      <x:c r="M17" s="2"/>
      <x:c r="N17" s="2"/>
      <x:c r="O17" s="2"/>
      <x:c r="P17" s="2"/>
      <x:c r="Q17" s="2"/>
      <x:c r="R17" s="2"/>
      <x:c r="S17" s="2"/>
      <x:c r="T17" s="2"/>
      <x:c r="U17" s="2"/>
    </x:row>
    <x:row r="18" ht="26" customHeight="1">
      <x:c r="A18" s="2" t="str">
        <x:v>E06000006</x:v>
      </x:c>
      <x:c r="B18" s="2" t="str">
        <x:v>Trung học</x:v>
      </x:c>
      <x:c r="C18" s="2" t="str">
        <x:v>Halton</x:v>
      </x:c>
      <x:c r="D18" s="12" t="n">
        <x:f>Nguon!F19/Nguon!D19</x:f>
        <x:v>0.2542309138773975</x:v>
      </x:c>
      <x:c r="E18" s="12" t="n">
        <x:f>Nguon!G19/Nguon!E19</x:f>
        <x:v>0.27987935151438986</x:v>
      </x:c>
      <x:c r="F18" s="13" t="n">
        <x:f>(E18-D18)*100</x:f>
        <x:v>2.564843763699237</x:v>
      </x:c>
      <x:c r="G18" s="12" t="n">
        <x:f>Nguon!H19/Nguon!D19</x:f>
        <x:v>0.037608123354644606</x:v>
      </x:c>
      <x:c r="H18" s="12" t="n">
        <x:f>Nguon!I19/Nguon!E19</x:f>
        <x:v>0.04159859243433455</x:v>
      </x:c>
      <x:c r="I18" s="13" t="n">
        <x:f>(H18-G18)*100</x:f>
        <x:v>0.39904690796899456</x:v>
      </x:c>
      <x:c r="J18" s="11" t="n">
        <x:f>Nguon!G19-Nguon!I19</x:f>
        <x:v>1896</x:v>
      </x:c>
      <x:c r="K18" s="12" t="n">
        <x:f>Nguon!N19/Nguon!K19</x:f>
        <x:v>0.04084816248650919</x:v>
      </x:c>
      <x:c r="L18" s="12" t="n">
        <x:f>Nguon!O19/Nguon!K19</x:f>
        <x:v>0.035534715136602564</x:v>
      </x:c>
      <x:c r="M18" s="2"/>
      <x:c r="N18" s="2"/>
      <x:c r="O18" s="2"/>
      <x:c r="P18" s="2"/>
      <x:c r="Q18" s="2"/>
      <x:c r="R18" s="2"/>
      <x:c r="S18" s="2"/>
      <x:c r="T18" s="2"/>
      <x:c r="U18" s="2"/>
    </x:row>
    <x:row r="19" ht="26" customHeight="1">
      <x:c r="A19" s="2" t="str">
        <x:v>E06000007</x:v>
      </x:c>
      <x:c r="B19" s="2" t="str">
        <x:v>Tiểu học</x:v>
      </x:c>
      <x:c r="C19" s="2" t="str">
        <x:v>Warrington</x:v>
      </x:c>
      <x:c r="D19" s="12" t="n">
        <x:f>Nguon!F20/Nguon!D20</x:f>
        <x:v>0.11554921540656206</x:v>
      </x:c>
      <x:c r="E19" s="12" t="n">
        <x:f>Nguon!G20/Nguon!E20</x:f>
        <x:v>0.11888947927736451</x:v>
      </x:c>
      <x:c r="F19" s="13" t="n">
        <x:f>(E19-D19)*100</x:f>
        <x:v>0.3340263870802454</x:v>
      </x:c>
      <x:c r="G19" s="12" t="n">
        <x:f>Nguon!H20/Nguon!D20</x:f>
        <x:v>0.0040850732719491635</x:v>
      </x:c>
      <x:c r="H19" s="12" t="n">
        <x:f>Nguon!I20/Nguon!E20</x:f>
        <x:v>0.004516471838469713</x:v>
      </x:c>
      <x:c r="I19" s="13" t="n">
        <x:f>(H19-G19)*100</x:f>
        <x:v>0.043139856652054956</x:v>
      </x:c>
      <x:c r="J19" s="11" t="n">
        <x:f>Nguon!G20-Nguon!I20</x:f>
        <x:v>1722</x:v>
      </x:c>
      <x:c r="K19" s="12" t="n">
        <x:f>Nguon!N20/Nguon!K20</x:f>
        <x:v>0.027315896620951324</x:v>
      </x:c>
      <x:c r="L19" s="12" t="n">
        <x:f>Nguon!O20/Nguon!K20</x:f>
        <x:v>0.0034857752723408855</x:v>
      </x:c>
      <x:c r="M19" s="2"/>
      <x:c r="N19" s="2"/>
      <x:c r="O19" s="2"/>
      <x:c r="P19" s="2"/>
      <x:c r="Q19" s="2"/>
      <x:c r="R19" s="2"/>
      <x:c r="S19" s="2"/>
      <x:c r="T19" s="2"/>
      <x:c r="U19" s="2"/>
    </x:row>
    <x:row r="20" ht="26" customHeight="1">
      <x:c r="A20" s="2" t="str">
        <x:v>E06000007</x:v>
      </x:c>
      <x:c r="B20" s="2" t="str">
        <x:v>Trung học</x:v>
      </x:c>
      <x:c r="C20" s="2" t="str">
        <x:v>Warrington</x:v>
      </x:c>
      <x:c r="D20" s="12" t="n">
        <x:f>Nguon!F21/Nguon!D21</x:f>
        <x:v>0.1800992845670901</x:v>
      </x:c>
      <x:c r="E20" s="12" t="n">
        <x:f>Nguon!G21/Nguon!E21</x:f>
        <x:v>0.1956569423119105</x:v>
      </x:c>
      <x:c r="F20" s="13" t="n">
        <x:f>(E20-D20)*100</x:f>
        <x:v>1.5557657744820403</x:v>
      </x:c>
      <x:c r="G20" s="12" t="n">
        <x:f>Nguon!H21/Nguon!D21</x:f>
        <x:v>0.02744926266608264</x:v>
      </x:c>
      <x:c r="H20" s="12" t="n">
        <x:f>Nguon!I21/Nguon!E21</x:f>
        <x:v>0.027272062586824596</x:v>
      </x:c>
      <x:c r="I20" s="13" t="n">
        <x:f>(H20-G20)*100</x:f>
        <x:v>-0.017720007925804346</x:v>
      </x:c>
      <x:c r="J20" s="11" t="n">
        <x:f>Nguon!G21-Nguon!I21</x:f>
        <x:v>2303</x:v>
      </x:c>
      <x:c r="K20" s="12" t="n">
        <x:f>Nguon!N21/Nguon!K21</x:f>
        <x:v>0.036654280055138024</x:v>
      </x:c>
      <x:c r="L20" s="12" t="n">
        <x:f>Nguon!O21/Nguon!K21</x:f>
        <x:v>0.017788477455788942</x:v>
      </x:c>
      <x:c r="M20" s="2"/>
      <x:c r="N20" s="2"/>
      <x:c r="O20" s="2"/>
      <x:c r="P20" s="2"/>
      <x:c r="Q20" s="2"/>
      <x:c r="R20" s="2"/>
      <x:c r="S20" s="2"/>
      <x:c r="T20" s="2"/>
      <x:c r="U20" s="2"/>
    </x:row>
    <x:row r="21" ht="26" customHeight="1">
      <x:c r="A21" s="2" t="str">
        <x:v>E06000008</x:v>
      </x:c>
      <x:c r="B21" s="2" t="str">
        <x:v>Tiểu học</x:v>
      </x:c>
      <x:c r="C21" s="2" t="str">
        <x:v>Blackburn with Darwen</x:v>
      </x:c>
      <x:c r="D21" s="12" t="n">
        <x:f>Nguon!F22/Nguon!D22</x:f>
        <x:v>0.1290516206482593</x:v>
      </x:c>
      <x:c r="E21" s="12" t="n">
        <x:f>Nguon!G22/Nguon!E22</x:f>
        <x:v>0.14129101502606561</x:v>
      </x:c>
      <x:c r="F21" s="13" t="n">
        <x:f>(E21-D21)*100</x:f>
        <x:v>1.22393943778063</x:v>
      </x:c>
      <x:c r="G21" s="12" t="n">
        <x:f>Nguon!H22/Nguon!D22</x:f>
        <x:v>0.01050420168067227</x:v>
      </x:c>
      <x:c r="H21" s="12" t="n">
        <x:f>Nguon!I22/Nguon!E22</x:f>
        <x:v>0.009352959214964734</x:v>
      </x:c>
      <x:c r="I21" s="13" t="n">
        <x:f>(H21-G21)*100</x:f>
        <x:v>-0.11512424657075353</x:v>
      </x:c>
      <x:c r="J21" s="11" t="n">
        <x:f>Nguon!G22-Nguon!I22</x:f>
        <x:v>1721</x:v>
      </x:c>
      <x:c r="K21" s="12" t="n">
        <x:f>Nguon!N22/Nguon!K22</x:f>
        <x:v>0.027933880461772517</x:v>
      </x:c>
      <x:c r="L21" s="12" t="n">
        <x:f>Nguon!O22/Nguon!K22</x:f>
        <x:v>0.005670426623103629</x:v>
      </x:c>
      <x:c r="M21" s="2"/>
      <x:c r="N21" s="2"/>
      <x:c r="O21" s="2"/>
      <x:c r="P21" s="2"/>
      <x:c r="Q21" s="2"/>
      <x:c r="R21" s="2"/>
      <x:c r="S21" s="2"/>
      <x:c r="T21" s="2"/>
      <x:c r="U21" s="2"/>
    </x:row>
    <x:row r="22" ht="26" customHeight="1">
      <x:c r="A22" s="2" t="str">
        <x:v>E06000008</x:v>
      </x:c>
      <x:c r="B22" s="2" t="str">
        <x:v>Trung học</x:v>
      </x:c>
      <x:c r="C22" s="2" t="str">
        <x:v>Blackburn with Darwen</x:v>
      </x:c>
      <x:c r="D22" s="12" t="n">
        <x:f>Nguon!F23/Nguon!D23</x:f>
        <x:v>0.19469901168014375</x:v>
      </x:c>
      <x:c r="E22" s="12" t="n">
        <x:f>Nguon!G23/Nguon!E23</x:f>
        <x:v>0.24417656122541467</x:v>
      </x:c>
      <x:c r="F22" s="13" t="n">
        <x:f>(E22-D22)*100</x:f>
        <x:v>4.947754954527092</x:v>
      </x:c>
      <x:c r="G22" s="12" t="n">
        <x:f>Nguon!H23/Nguon!D23</x:f>
        <x:v>0.025606469002695417</x:v>
      </x:c>
      <x:c r="H22" s="12" t="n">
        <x:f>Nguon!I23/Nguon!E23</x:f>
        <x:v>0.032810658932294026</x:v>
      </x:c>
      <x:c r="I22" s="13" t="n">
        <x:f>(H22-G22)*100</x:f>
        <x:v>0.720418992959861</x:v>
      </x:c>
      <x:c r="J22" s="11" t="n">
        <x:f>Nguon!G23-Nguon!I23</x:f>
        <x:v>2332</x:v>
      </x:c>
      <x:c r="K22" s="12" t="n">
        <x:f>Nguon!N23/Nguon!K23</x:f>
        <x:v>0.03976171062744073</x:v>
      </x:c>
      <x:c r="L22" s="12" t="n">
        <x:f>Nguon!O23/Nguon!K23</x:f>
        <x:v>0.021867250296171165</x:v>
      </x:c>
      <x:c r="M22" s="2"/>
      <x:c r="N22" s="2"/>
      <x:c r="O22" s="2"/>
      <x:c r="P22" s="2"/>
      <x:c r="Q22" s="2"/>
      <x:c r="R22" s="2"/>
      <x:c r="S22" s="2"/>
      <x:c r="T22" s="2"/>
      <x:c r="U22" s="2"/>
    </x:row>
    <x:row r="23" ht="26" customHeight="1">
      <x:c r="A23" s="2" t="str">
        <x:v>E06000009</x:v>
      </x:c>
      <x:c r="B23" s="2" t="str">
        <x:v>Tiểu học</x:v>
      </x:c>
      <x:c r="C23" s="2" t="str">
        <x:v>Blackpool</x:v>
      </x:c>
      <x:c r="D23" s="12" t="n">
        <x:f>Nguon!F24/Nguon!D24</x:f>
        <x:v>0.1710843373493976</x:v>
      </x:c>
      <x:c r="E23" s="12" t="n">
        <x:f>Nguon!G24/Nguon!E24</x:f>
        <x:v>0.17153363616699113</x:v>
      </x:c>
      <x:c r="F23" s="13" t="n">
        <x:f>(E23-D23)*100</x:f>
        <x:v>0.04492988175935353</x:v>
      </x:c>
      <x:c r="G23" s="12" t="n">
        <x:f>Nguon!H24/Nguon!D24</x:f>
        <x:v>0.007962283918281823</x:v>
      </x:c>
      <x:c r="H23" s="12" t="n">
        <x:f>Nguon!I24/Nguon!E24</x:f>
        <x:v>0.004758814622539477</x:v>
      </x:c>
      <x:c r="I23" s="13" t="n">
        <x:f>(H23-G23)*100</x:f>
        <x:v>-0.3203469295742346</x:v>
      </x:c>
      <x:c r="J23" s="11" t="n">
        <x:f>Nguon!G24-Nguon!I24</x:f>
        <x:v>1542</x:v>
      </x:c>
      <x:c r="K23" s="12" t="n">
        <x:f>Nguon!N24/Nguon!K24</x:f>
        <x:v>0.02512655071791812</x:v>
      </x:c>
      <x:c r="L23" s="12" t="n">
        <x:f>Nguon!O24/Nguon!K24</x:f>
        <x:v>0.014036296931898716</x:v>
      </x:c>
      <x:c r="M23" s="2"/>
      <x:c r="N23" s="2"/>
      <x:c r="O23" s="2"/>
      <x:c r="P23" s="2"/>
      <x:c r="Q23" s="2"/>
      <x:c r="R23" s="2"/>
      <x:c r="S23" s="2"/>
      <x:c r="T23" s="2"/>
      <x:c r="U23" s="2"/>
    </x:row>
    <x:row r="24" ht="26" customHeight="1">
      <x:c r="A24" s="2" t="str">
        <x:v>E06000009</x:v>
      </x:c>
      <x:c r="B24" s="2" t="str">
        <x:v>Trung học</x:v>
      </x:c>
      <x:c r="C24" s="2" t="str">
        <x:v>Blackpool</x:v>
      </x:c>
      <x:c r="D24" s="12" t="n">
        <x:f>Nguon!F25/Nguon!D25</x:f>
        <x:v>0.27963645943098</x:v>
      </x:c>
      <x:c r="E24" s="12" t="n">
        <x:f>Nguon!G25/Nguon!E25</x:f>
        <x:v>0.2375872514157777</x:v>
      </x:c>
      <x:c r="F24" s="13" t="n">
        <x:f>(E24-D24)*100</x:f>
        <x:v>-4.204920801520229</x:v>
      </x:c>
      <x:c r="G24" s="12" t="n">
        <x:f>Nguon!H25/Nguon!D25</x:f>
        <x:v>0.04267650158061117</x:v>
      </x:c>
      <x:c r="H24" s="12" t="n">
        <x:f>Nguon!I25/Nguon!E25</x:f>
        <x:v>0.027525352298169367</x:v>
      </x:c>
      <x:c r="I24" s="13" t="n">
        <x:f>(H24-G24)*100</x:f>
        <x:v>-1.5151149282441803</x:v>
      </x:c>
      <x:c r="J24" s="11" t="n">
        <x:f>Nguon!G25-Nguon!I25</x:f>
        <x:v>1595</x:v>
      </x:c>
      <x:c r="K24" s="12" t="n">
        <x:f>Nguon!N25/Nguon!K25</x:f>
        <x:v>0.024190445494193365</x:v>
      </x:c>
      <x:c r="L24" s="12" t="n">
        <x:f>Nguon!O25/Nguon!K25</x:f>
        <x:v>0.03356868748929827</x:v>
      </x:c>
      <x:c r="M24" s="2"/>
      <x:c r="N24" s="2"/>
      <x:c r="O24" s="2"/>
      <x:c r="P24" s="2"/>
      <x:c r="Q24" s="2"/>
      <x:c r="R24" s="2"/>
      <x:c r="S24" s="2"/>
      <x:c r="T24" s="2"/>
      <x:c r="U24" s="2"/>
    </x:row>
    <x:row r="25" ht="26" customHeight="1">
      <x:c r="A25" s="2" t="str">
        <x:v>E06000010</x:v>
      </x:c>
      <x:c r="B25" s="2" t="str">
        <x:v>Tiểu học</x:v>
      </x:c>
      <x:c r="C25" s="2" t="str">
        <x:v>Kingston upon Hull, City of</x:v>
      </x:c>
      <x:c r="D25" s="12" t="n">
        <x:f>Nguon!F26/Nguon!D26</x:f>
        <x:v>0.16419691695673794</x:v>
      </x:c>
      <x:c r="E25" s="12" t="n">
        <x:f>Nguon!G26/Nguon!E26</x:f>
        <x:v>0.16952767902488572</x:v>
      </x:c>
      <x:c r="F25" s="13" t="n">
        <x:f>(E25-D25)*100</x:f>
        <x:v>0.5330762068147782</x:v>
      </x:c>
      <x:c r="G25" s="12" t="n">
        <x:f>Nguon!H26/Nguon!D26</x:f>
        <x:v>0.009348582794629537</x:v>
      </x:c>
      <x:c r="H25" s="12" t="n">
        <x:f>Nguon!I26/Nguon!E26</x:f>
        <x:v>0.011528694768918232</x:v>
      </x:c>
      <x:c r="I25" s="13" t="n">
        <x:f>(H25-G25)*100</x:f>
        <x:v>0.2180111974288695</x:v>
      </x:c>
      <x:c r="J25" s="11" t="n">
        <x:f>Nguon!G26-Nguon!I26</x:f>
        <x:v>3111</x:v>
      </x:c>
      <x:c r="K25" s="12" t="n">
        <x:f>Nguon!N26/Nguon!K26</x:f>
        <x:v>0.029570741231030376</x:v>
      </x:c>
      <x:c r="L25" s="12" t="n">
        <x:f>Nguon!O26/Nguon!K26</x:f>
        <x:v>0.010325934251194156</x:v>
      </x:c>
      <x:c r="M25" s="2"/>
      <x:c r="N25" s="2"/>
      <x:c r="O25" s="2"/>
      <x:c r="P25" s="2"/>
      <x:c r="Q25" s="2"/>
      <x:c r="R25" s="2"/>
      <x:c r="S25" s="2"/>
      <x:c r="T25" s="2"/>
      <x:c r="U25" s="2"/>
    </x:row>
    <x:row r="26" ht="26" customHeight="1">
      <x:c r="A26" s="2" t="str">
        <x:v>E06000010</x:v>
      </x:c>
      <x:c r="B26" s="2" t="str">
        <x:v>Trung học</x:v>
      </x:c>
      <x:c r="C26" s="2" t="str">
        <x:v>Kingston upon Hull, City of</x:v>
      </x:c>
      <x:c r="D26" s="12" t="n">
        <x:f>Nguon!F27/Nguon!D27</x:f>
        <x:v>0.23904919438828648</x:v>
      </x:c>
      <x:c r="E26" s="12" t="n">
        <x:f>Nguon!G27/Nguon!E27</x:f>
        <x:v>0.24489921716082105</x:v>
      </x:c>
      <x:c r="F26" s="13" t="n">
        <x:f>(E26-D26)*100</x:f>
        <x:v>0.5850022772534574</x:v>
      </x:c>
      <x:c r="G26" s="12" t="n">
        <x:f>Nguon!H27/Nguon!D27</x:f>
        <x:v>0.038779636096305824</x:v>
      </x:c>
      <x:c r="H26" s="12" t="n">
        <x:f>Nguon!I27/Nguon!E27</x:f>
        <x:v>0.039326881587869074</x:v>
      </x:c>
      <x:c r="I26" s="13" t="n">
        <x:f>(H26-G26)*100</x:f>
        <x:v>0.05472454915632502</x:v>
      </x:c>
      <x:c r="J26" s="11" t="n">
        <x:f>Nguon!G27-Nguon!I27</x:f>
        <x:v>3335</x:v>
      </x:c>
      <x:c r="K26" s="12" t="n">
        <x:f>Nguon!N27/Nguon!K27</x:f>
        <x:v>0.02826883544332236</x:v>
      </x:c>
      <x:c r="L26" s="12" t="n">
        <x:f>Nguon!O27/Nguon!K27</x:f>
        <x:v>0.03377450264544321</x:v>
      </x:c>
      <x:c r="M26" s="2"/>
      <x:c r="N26" s="2"/>
      <x:c r="O26" s="2"/>
      <x:c r="P26" s="2"/>
      <x:c r="Q26" s="2"/>
      <x:c r="R26" s="2"/>
      <x:c r="S26" s="2"/>
      <x:c r="T26" s="2"/>
      <x:c r="U26" s="2"/>
    </x:row>
    <x:row r="27" ht="26" customHeight="1">
      <x:c r="A27" s="2" t="str">
        <x:v>E06000011</x:v>
      </x:c>
      <x:c r="B27" s="2" t="str">
        <x:v>Tiểu học</x:v>
      </x:c>
      <x:c r="C27" s="2" t="str">
        <x:v>East Riding of Yorkshire</x:v>
      </x:c>
      <x:c r="D27" s="12" t="n">
        <x:f>Nguon!F28/Nguon!D28</x:f>
        <x:v>0.1280035597745476</x:v>
      </x:c>
      <x:c r="E27" s="12" t="n">
        <x:f>Nguon!G28/Nguon!E28</x:f>
        <x:v>0.12993503248375812</x:v>
      </x:c>
      <x:c r="F27" s="13" t="n">
        <x:f>(E27-D27)*100</x:f>
        <x:v>0.19314727092105133</x:v>
      </x:c>
      <x:c r="G27" s="12" t="n">
        <x:f>Nguon!H28/Nguon!D28</x:f>
        <x:v>0.00588351626619203</x:v>
      </x:c>
      <x:c r="H27" s="12" t="n">
        <x:f>Nguon!I28/Nguon!E28</x:f>
        <x:v>0.006896551724137931</x:v>
      </x:c>
      <x:c r="I27" s="13" t="n">
        <x:f>(H27-G27)*100</x:f>
        <x:v>0.10130354579459006</x:v>
      </x:c>
      <x:c r="J27" s="11" t="n">
        <x:f>Nguon!G28-Nguon!I28</x:f>
        <x:v>2462</x:v>
      </x:c>
      <x:c r="K27" s="12" t="n">
        <x:f>Nguon!N28/Nguon!K28</x:f>
        <x:v>0.02744034242426037</x:v>
      </x:c>
      <x:c r="L27" s="12" t="n">
        <x:f>Nguon!O28/Nguon!K28</x:f>
        <x:v>0.005505834861183638</x:v>
      </x:c>
      <x:c r="M27" s="2"/>
      <x:c r="N27" s="2"/>
      <x:c r="O27" s="2"/>
      <x:c r="P27" s="2"/>
      <x:c r="Q27" s="2"/>
      <x:c r="R27" s="2"/>
      <x:c r="S27" s="2"/>
      <x:c r="T27" s="2"/>
      <x:c r="U27" s="2"/>
    </x:row>
    <x:row r="28" ht="26" customHeight="1">
      <x:c r="A28" s="2" t="str">
        <x:v>E06000011</x:v>
      </x:c>
      <x:c r="B28" s="2" t="str">
        <x:v>Trung học</x:v>
      </x:c>
      <x:c r="C28" s="2" t="str">
        <x:v>East Riding of Yorkshire</x:v>
      </x:c>
      <x:c r="D28" s="12" t="n">
        <x:f>Nguon!F29/Nguon!D29</x:f>
        <x:v>0.21987885462555065</x:v>
      </x:c>
      <x:c r="E28" s="12" t="n">
        <x:f>Nguon!G29/Nguon!E29</x:f>
        <x:v>0.2280750137892995</x:v>
      </x:c>
      <x:c r="F28" s="13" t="n">
        <x:f>(E28-D28)*100</x:f>
        <x:v>0.8196159163748856</x:v>
      </x:c>
      <x:c r="G28" s="12" t="n">
        <x:f>Nguon!H29/Nguon!D29</x:f>
        <x:v>0.026101321585903083</x:v>
      </x:c>
      <x:c r="H28" s="12" t="n">
        <x:f>Nguon!I29/Nguon!E29</x:f>
        <x:v>0.0253723110865968</x:v>
      </x:c>
      <x:c r="I28" s="13" t="n">
        <x:f>(H28-G28)*100</x:f>
        <x:v>-0.07290104993062825</x:v>
      </x:c>
      <x:c r="J28" s="11" t="n">
        <x:f>Nguon!G29-Nguon!I29</x:f>
        <x:v>3675</x:v>
      </x:c>
      <x:c r="K28" s="12" t="n">
        <x:f>Nguon!N29/Nguon!K29</x:f>
        <x:v>0.04191580897869944</x:v>
      </x:c>
      <x:c r="L28" s="12" t="n">
        <x:f>Nguon!O29/Nguon!K29</x:f>
        <x:v>0.021639864451344394</x:v>
      </x:c>
      <x:c r="M28" s="2"/>
      <x:c r="N28" s="2"/>
      <x:c r="O28" s="2"/>
      <x:c r="P28" s="2"/>
      <x:c r="Q28" s="2"/>
      <x:c r="R28" s="2"/>
      <x:c r="S28" s="2"/>
      <x:c r="T28" s="2"/>
      <x:c r="U28" s="2"/>
    </x:row>
    <x:row r="29" ht="26" customHeight="1">
      <x:c r="A29" s="2" t="str">
        <x:v>E06000012</x:v>
      </x:c>
      <x:c r="B29" s="2" t="str">
        <x:v>Tiểu học</x:v>
      </x:c>
      <x:c r="C29" s="2" t="str">
        <x:v>North East Lincolnshire</x:v>
      </x:c>
      <x:c r="D29" s="12" t="n">
        <x:f>Nguon!F30/Nguon!D30</x:f>
        <x:v>0.15086770733408914</x:v>
      </x:c>
      <x:c r="E29" s="12" t="n">
        <x:f>Nguon!G30/Nguon!E30</x:f>
        <x:v>0.16760224538893345</x:v>
      </x:c>
      <x:c r="F29" s="13" t="n">
        <x:f>(E29-D29)*100</x:f>
        <x:v>1.6734538054844317</x:v>
      </x:c>
      <x:c r="G29" s="12" t="n">
        <x:f>Nguon!H30/Nguon!D30</x:f>
        <x:v>0.008371849655533269</x:v>
      </x:c>
      <x:c r="H29" s="12" t="n">
        <x:f>Nguon!I30/Nguon!E30</x:f>
        <x:v>0.010514122783569455</x:v>
      </x:c>
      <x:c r="I29" s="13" t="n">
        <x:f>(H29-G29)*100</x:f>
        <x:v>0.2142273128036186</x:v>
      </x:c>
      <x:c r="J29" s="11" t="n">
        <x:f>Nguon!G30-Nguon!I30</x:f>
        <x:v>1763</x:v>
      </x:c>
      <x:c r="K29" s="12" t="n">
        <x:f>Nguon!N30/Nguon!K30</x:f>
        <x:v>0.028487719898504866</x:v>
      </x:c>
      <x:c r="L29" s="12" t="n">
        <x:f>Nguon!O30/Nguon!K30</x:f>
        <x:v>0.010893880647886846</x:v>
      </x:c>
      <x:c r="M29" s="2"/>
      <x:c r="N29" s="2"/>
      <x:c r="O29" s="2"/>
      <x:c r="P29" s="2"/>
      <x:c r="Q29" s="2"/>
      <x:c r="R29" s="2"/>
      <x:c r="S29" s="2"/>
      <x:c r="T29" s="2"/>
      <x:c r="U29" s="2"/>
    </x:row>
    <x:row r="30" ht="26" customHeight="1">
      <x:c r="A30" s="2" t="str">
        <x:v>E06000012</x:v>
      </x:c>
      <x:c r="B30" s="2" t="str">
        <x:v>Trung học</x:v>
      </x:c>
      <x:c r="C30" s="2" t="str">
        <x:v>North East Lincolnshire</x:v>
      </x:c>
      <x:c r="D30" s="12" t="n">
        <x:f>Nguon!F31/Nguon!D31</x:f>
        <x:v>0.26031746031746034</x:v>
      </x:c>
      <x:c r="E30" s="12" t="n">
        <x:f>Nguon!G31/Nguon!E31</x:f>
        <x:v>0.3022893976439209</x:v>
      </x:c>
      <x:c r="F30" s="13" t="n">
        <x:f>(E30-D30)*100</x:f>
        <x:v>4.197193732646054</x:v>
      </x:c>
      <x:c r="G30" s="12" t="n">
        <x:f>Nguon!H31/Nguon!D31</x:f>
        <x:v>0.043787629994526546</x:v>
      </x:c>
      <x:c r="H30" s="12" t="n">
        <x:f>Nguon!I31/Nguon!E31</x:f>
        <x:v>0.047566125805734605</x:v>
      </x:c>
      <x:c r="I30" s="13" t="n">
        <x:f>(H30-G30)*100</x:f>
        <x:v>0.3778495811208059</x:v>
      </x:c>
      <x:c r="J30" s="11" t="n">
        <x:f>Nguon!G31-Nguon!I31</x:f>
        <x:v>2292</x:v>
      </x:c>
      <x:c r="K30" s="12" t="n">
        <x:f>Nguon!N31/Nguon!K31</x:f>
        <x:v>0.04177125609631322</x:v>
      </x:c>
      <x:c r="L30" s="12" t="n">
        <x:f>Nguon!O31/Nguon!K31</x:f>
        <x:v>0.033318270181780976</x:v>
      </x:c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26" customHeight="1">
      <x:c r="A31" s="2" t="str">
        <x:v>E06000013</x:v>
      </x:c>
      <x:c r="B31" s="2" t="str">
        <x:v>Tiểu học</x:v>
      </x:c>
      <x:c r="C31" s="2" t="str">
        <x:v>North Lincolnshire</x:v>
      </x:c>
      <x:c r="D31" s="12" t="n">
        <x:f>Nguon!F32/Nguon!D32</x:f>
        <x:v>0.13608302764605887</x:v>
      </x:c>
      <x:c r="E31" s="12" t="n">
        <x:f>Nguon!G32/Nguon!E32</x:f>
        <x:v>0.1476571849397036</x:v>
      </x:c>
      <x:c r="F31" s="13" t="n">
        <x:f>(E31-D31)*100</x:f>
        <x:v>1.1574157293644722</x:v>
      </x:c>
      <x:c r="G31" s="12" t="n">
        <x:f>Nguon!H32/Nguon!D32</x:f>
        <x:v>0.00805225015657153</x:v>
      </x:c>
      <x:c r="H31" s="12" t="n">
        <x:f>Nguon!I32/Nguon!E32</x:f>
        <x:v>0.00782472613458529</x:v>
      </x:c>
      <x:c r="I31" s="13" t="n">
        <x:f>(H31-G31)*100</x:f>
        <x:v>-0.022752402198624073</x:v>
      </x:c>
      <x:c r="J31" s="11" t="n">
        <x:f>Nguon!G32-Nguon!I32</x:f>
        <x:v>1519</x:v>
      </x:c>
      <x:c r="K31" s="12" t="n">
        <x:f>Nguon!N32/Nguon!K32</x:f>
        <x:v>0.030533315853002473</x:v>
      </x:c>
      <x:c r="L31" s="12" t="n">
        <x:f>Nguon!O32/Nguon!K32</x:f>
        <x:v>0.0078028580340956865</x:v>
      </x:c>
      <x:c r="M31" s="2"/>
      <x:c r="N31" s="2"/>
      <x:c r="O31" s="2"/>
      <x:c r="P31" s="2"/>
      <x:c r="Q31" s="2"/>
      <x:c r="R31" s="2"/>
      <x:c r="S31" s="2"/>
      <x:c r="T31" s="2"/>
      <x:c r="U31" s="2"/>
    </x:row>
    <x:row r="32" ht="26" customHeight="1">
      <x:c r="A32" s="2" t="str">
        <x:v>E06000013</x:v>
      </x:c>
      <x:c r="B32" s="2" t="str">
        <x:v>Trung học</x:v>
      </x:c>
      <x:c r="C32" s="2" t="str">
        <x:v>North Lincolnshire</x:v>
      </x:c>
      <x:c r="D32" s="12" t="n">
        <x:f>Nguon!F33/Nguon!D33</x:f>
        <x:v>0.22842590812992505</x:v>
      </x:c>
      <x:c r="E32" s="12" t="n">
        <x:f>Nguon!G33/Nguon!E33</x:f>
        <x:v>0.23703339882121807</x:v>
      </x:c>
      <x:c r="F32" s="13" t="n">
        <x:f>(E32-D32)*100</x:f>
        <x:v>0.8607490691293018</x:v>
      </x:c>
      <x:c r="G32" s="12" t="n">
        <x:f>Nguon!H33/Nguon!D33</x:f>
        <x:v>0.03497981933499904</x:v>
      </x:c>
      <x:c r="H32" s="12" t="n">
        <x:f>Nguon!I33/Nguon!E33</x:f>
        <x:v>0.02986247544204322</x:v>
      </x:c>
      <x:c r="I32" s="13" t="n">
        <x:f>(H32-G32)*100</x:f>
        <x:v>-0.5117343892955817</x:v>
      </x:c>
      <x:c r="J32" s="11" t="n">
        <x:f>Nguon!G33-Nguon!I33</x:f>
        <x:v>2109</x:v>
      </x:c>
      <x:c r="K32" s="12" t="n">
        <x:f>Nguon!N33/Nguon!K33</x:f>
        <x:v>0.03726487179306605</x:v>
      </x:c>
      <x:c r="L32" s="12" t="n">
        <x:f>Nguon!O33/Nguon!K33</x:f>
        <x:v>0.02712169975422016</x:v>
      </x:c>
      <x:c r="M32" s="2"/>
      <x:c r="N32" s="2"/>
      <x:c r="O32" s="2"/>
      <x:c r="P32" s="2"/>
      <x:c r="Q32" s="2"/>
      <x:c r="R32" s="2"/>
      <x:c r="S32" s="2"/>
      <x:c r="T32" s="2"/>
      <x:c r="U32" s="2"/>
    </x:row>
    <x:row r="33" ht="26" customHeight="1">
      <x:c r="A33" s="2" t="str">
        <x:v>E06000014</x:v>
      </x:c>
      <x:c r="B33" s="2" t="str">
        <x:v>Tiểu học</x:v>
      </x:c>
      <x:c r="C33" s="2" t="str">
        <x:v>York</x:v>
      </x:c>
      <x:c r="D33" s="12" t="n">
        <x:f>Nguon!F34/Nguon!D34</x:f>
        <x:v>0.1253932584269663</x:v>
      </x:c>
      <x:c r="E33" s="12" t="n">
        <x:f>Nguon!G34/Nguon!E34</x:f>
        <x:v>0.13313609467455623</x:v>
      </x:c>
      <x:c r="F33" s="13" t="n">
        <x:f>(E33-D33)*100</x:f>
        <x:v>0.7742836247589924</x:v>
      </x:c>
      <x:c r="G33" s="12" t="n">
        <x:f>Nguon!H34/Nguon!D34</x:f>
        <x:v>0.010157303370786517</x:v>
      </x:c>
      <x:c r="H33" s="12" t="n">
        <x:f>Nguon!I34/Nguon!E34</x:f>
        <x:v>0.011372041420118344</x:v>
      </x:c>
      <x:c r="I33" s="13" t="n">
        <x:f>(H33-G33)*100</x:f>
        <x:v>0.12147380493318267</x:v>
      </x:c>
      <x:c r="J33" s="11" t="n">
        <x:f>Nguon!G34-Nguon!I34</x:f>
        <x:v>1317</x:v>
      </x:c>
      <x:c r="K33" s="12" t="n">
        <x:f>Nguon!N34/Nguon!K34</x:f>
        <x:v>0.028895007330210543</x:v>
      </x:c>
      <x:c r="L33" s="12" t="n">
        <x:f>Nguon!O34/Nguon!K34</x:f>
        <x:v>0.0055098478371815585</x:v>
      </x:c>
      <x:c r="M33" s="2"/>
      <x:c r="N33" s="2"/>
      <x:c r="O33" s="2"/>
      <x:c r="P33" s="2"/>
      <x:c r="Q33" s="2"/>
      <x:c r="R33" s="2"/>
      <x:c r="S33" s="2"/>
      <x:c r="T33" s="2"/>
      <x:c r="U33" s="2"/>
    </x:row>
    <x:row r="34" ht="26" customHeight="1">
      <x:c r="A34" s="2" t="str">
        <x:v>E06000014</x:v>
      </x:c>
      <x:c r="B34" s="2" t="str">
        <x:v>Trung học</x:v>
      </x:c>
      <x:c r="C34" s="2" t="str">
        <x:v>York</x:v>
      </x:c>
      <x:c r="D34" s="12" t="n">
        <x:f>Nguon!F35/Nguon!D35</x:f>
        <x:v>0.2185383604568887</x:v>
      </x:c>
      <x:c r="E34" s="12" t="n">
        <x:f>Nguon!G35/Nguon!E35</x:f>
        <x:v>0.21678392984602834</x:v>
      </x:c>
      <x:c r="F34" s="13" t="n">
        <x:f>(E34-D34)*100</x:f>
        <x:v>-0.17544306108603636</x:v>
      </x:c>
      <x:c r="G34" s="12" t="n">
        <x:f>Nguon!H35/Nguon!D35</x:f>
        <x:v>0.04488021833619731</x:v>
      </x:c>
      <x:c r="H34" s="12" t="n">
        <x:f>Nguon!I35/Nguon!E35</x:f>
        <x:v>0.04823085551136943</x:v>
      </x:c>
      <x:c r="I34" s="13" t="n">
        <x:f>(H34-G34)*100</x:f>
        <x:v>0.33506371751721165</x:v>
      </x:c>
      <x:c r="J34" s="11" t="n">
        <x:f>Nguon!G35-Nguon!I35</x:f>
        <x:v>1653</x:v>
      </x:c>
      <x:c r="K34" s="12" t="n">
        <x:f>Nguon!N35/Nguon!K35</x:f>
        <x:v>0.0377476551653714</x:v>
      </x:c>
      <x:c r="L34" s="12" t="n">
        <x:f>Nguon!O35/Nguon!K35</x:f>
        <x:v>0.03121231806755644</x:v>
      </x:c>
      <x:c r="M34" s="2"/>
      <x:c r="N34" s="2"/>
      <x:c r="O34" s="2"/>
      <x:c r="P34" s="2"/>
      <x:c r="Q34" s="2"/>
      <x:c r="R34" s="2"/>
      <x:c r="S34" s="2"/>
      <x:c r="T34" s="2"/>
      <x:c r="U34" s="2"/>
    </x:row>
    <x:row r="35" ht="26" customHeight="1">
      <x:c r="A35" s="2" t="str">
        <x:v>E06000015</x:v>
      </x:c>
      <x:c r="B35" s="2" t="str">
        <x:v>Tiểu học</x:v>
      </x:c>
      <x:c r="C35" s="2" t="str">
        <x:v>Derby</x:v>
      </x:c>
      <x:c r="D35" s="12" t="n">
        <x:f>Nguon!F36/Nguon!D36</x:f>
        <x:v>0.16852564414787394</x:v>
      </x:c>
      <x:c r="E35" s="12" t="n">
        <x:f>Nguon!G36/Nguon!E36</x:f>
        <x:v>0.17348462227530606</x:v>
      </x:c>
      <x:c r="F35" s="13" t="n">
        <x:f>(E35-D35)*100</x:f>
        <x:v>0.4958978127432123</x:v>
      </x:c>
      <x:c r="G35" s="12" t="n">
        <x:f>Nguon!H36/Nguon!D36</x:f>
        <x:v>0.010764210218693683</x:v>
      </x:c>
      <x:c r="H35" s="12" t="n">
        <x:f>Nguon!I36/Nguon!E36</x:f>
        <x:v>0.012740121429282374</x:v>
      </x:c>
      <x:c r="I35" s="13" t="n">
        <x:f>(H35-G35)*100</x:f>
        <x:v>0.19759112105886908</x:v>
      </x:c>
      <x:c r="J35" s="11" t="n">
        <x:f>Nguon!G36-Nguon!I36</x:f>
        <x:v>3230</x:v>
      </x:c>
      <x:c r="K35" s="12" t="n">
        <x:f>Nguon!N36/Nguon!K36</x:f>
        <x:v>0.030795568420178113</x:v>
      </x:c>
      <x:c r="L35" s="12" t="n">
        <x:f>Nguon!O36/Nguon!K36</x:f>
        <x:v>0.009817688823340418</x:v>
      </x:c>
      <x:c r="M35" s="2"/>
      <x:c r="N35" s="2"/>
      <x:c r="O35" s="2"/>
      <x:c r="P35" s="2"/>
      <x:c r="Q35" s="2"/>
      <x:c r="R35" s="2"/>
      <x:c r="S35" s="2"/>
      <x:c r="T35" s="2"/>
      <x:c r="U35" s="2"/>
    </x:row>
    <x:row r="36" ht="26" customHeight="1">
      <x:c r="A36" s="2" t="str">
        <x:v>E06000015</x:v>
      </x:c>
      <x:c r="B36" s="2" t="str">
        <x:v>Trung học</x:v>
      </x:c>
      <x:c r="C36" s="2" t="str">
        <x:v>Derby</x:v>
      </x:c>
      <x:c r="D36" s="12" t="n">
        <x:f>Nguon!F37/Nguon!D37</x:f>
        <x:v>0.22884542036724242</x:v>
      </x:c>
      <x:c r="E36" s="12" t="n">
        <x:f>Nguon!G37/Nguon!E37</x:f>
        <x:v>0.23534246575342466</x:v>
      </x:c>
      <x:c r="F36" s="13" t="n">
        <x:f>(E36-D36)*100</x:f>
        <x:v>0.6497045386182232</x:v>
      </x:c>
      <x:c r="G36" s="12" t="n">
        <x:f>Nguon!H37/Nguon!D37</x:f>
        <x:v>0.02844221653135727</x:v>
      </x:c>
      <x:c r="H36" s="12" t="n">
        <x:f>Nguon!I37/Nguon!E37</x:f>
        <x:v>0.02854794520547945</x:v>
      </x:c>
      <x:c r="I36" s="13" t="n">
        <x:f>(H36-G36)*100</x:f>
        <x:v>0.010572867412218107</x:v>
      </x:c>
      <x:c r="J36" s="11" t="n">
        <x:f>Nguon!G37-Nguon!I37</x:f>
        <x:v>3774</x:v>
      </x:c>
      <x:c r="K36" s="12" t="n">
        <x:f>Nguon!N37/Nguon!K37</x:f>
        <x:v>0.0413646193629687</x:v>
      </x:c>
      <x:c r="L36" s="12" t="n">
        <x:f>Nguon!O37/Nguon!K37</x:f>
        <x:v>0.01948225619080748</x:v>
      </x:c>
      <x:c r="M36" s="2"/>
      <x:c r="N36" s="2"/>
      <x:c r="O36" s="2"/>
      <x:c r="P36" s="2"/>
      <x:c r="Q36" s="2"/>
      <x:c r="R36" s="2"/>
      <x:c r="S36" s="2"/>
      <x:c r="T36" s="2"/>
      <x:c r="U36" s="2"/>
    </x:row>
    <x:row r="37" ht="26" customHeight="1">
      <x:c r="A37" s="2" t="str">
        <x:v>E06000016</x:v>
      </x:c>
      <x:c r="B37" s="2" t="str">
        <x:v>Tiểu học</x:v>
      </x:c>
      <x:c r="C37" s="2" t="str">
        <x:v>Leicester</x:v>
      </x:c>
      <x:c r="D37" s="12" t="n">
        <x:f>Nguon!F38/Nguon!D38</x:f>
        <x:v>0.16100842667406456</x:v>
      </x:c>
      <x:c r="E37" s="12" t="n">
        <x:f>Nguon!G38/Nguon!E38</x:f>
        <x:v>0.14529457861366388</x:v>
      </x:c>
      <x:c r="F37" s="13" t="n">
        <x:f>(E37-D37)*100</x:f>
        <x:v>-1.5713848060400686</x:v>
      </x:c>
      <x:c r="G37" s="12" t="n">
        <x:f>Nguon!H38/Nguon!D38</x:f>
        <x:v>0.014113812116378265</x:v>
      </x:c>
      <x:c r="H37" s="12" t="n">
        <x:f>Nguon!I38/Nguon!E38</x:f>
        <x:v>0.014034337821471824</x:v>
      </x:c>
      <x:c r="I37" s="13" t="n">
        <x:f>(H37-G37)*100</x:f>
        <x:v>-0.00794742949064408</x:v>
      </x:c>
      <x:c r="J37" s="11" t="n">
        <x:f>Nguon!G38-Nguon!I38</x:f>
        <x:v>3685</x:v>
      </x:c>
      <x:c r="K37" s="12" t="n">
        <x:f>Nguon!N38/Nguon!K38</x:f>
        <x:v>0.027564073970036324</x:v>
      </x:c>
      <x:c r="L37" s="12" t="n">
        <x:f>Nguon!O38/Nguon!K38</x:f>
        <x:v>0.008177742199546457</x:v>
      </x:c>
      <x:c r="M37" s="2"/>
      <x:c r="N37" s="2"/>
      <x:c r="O37" s="2"/>
      <x:c r="P37" s="2"/>
      <x:c r="Q37" s="2"/>
      <x:c r="R37" s="2"/>
      <x:c r="S37" s="2"/>
      <x:c r="T37" s="2"/>
      <x:c r="U37" s="2"/>
    </x:row>
    <x:row r="38" ht="26" customHeight="1">
      <x:c r="A38" s="2" t="str">
        <x:v>E06000016</x:v>
      </x:c>
      <x:c r="B38" s="2" t="str">
        <x:v>Trung học</x:v>
      </x:c>
      <x:c r="C38" s="2" t="str">
        <x:v>Leicester</x:v>
      </x:c>
      <x:c r="D38" s="12" t="n">
        <x:f>Nguon!F39/Nguon!D39</x:f>
        <x:v>0.19624409218286</x:v>
      </x:c>
      <x:c r="E38" s="12" t="n">
        <x:f>Nguon!G39/Nguon!E39</x:f>
        <x:v>0.19052622730329521</x:v>
      </x:c>
      <x:c r="F38" s="13" t="n">
        <x:f>(E38-D38)*100</x:f>
        <x:v>-0.5717864879564799</x:v>
      </x:c>
      <x:c r="G38" s="12" t="n">
        <x:f>Nguon!H39/Nguon!D39</x:f>
        <x:v>0.031536241582667615</x:v>
      </x:c>
      <x:c r="H38" s="12" t="n">
        <x:f>Nguon!I39/Nguon!E39</x:f>
        <x:v>0.029085406859448555</x:v>
      </x:c>
      <x:c r="I38" s="13" t="n">
        <x:f>(H38-G38)*100</x:f>
        <x:v>-0.245083472321906</x:v>
      </x:c>
      <x:c r="J38" s="11" t="n">
        <x:f>Nguon!G39-Nguon!I39</x:f>
        <x:v>3841</x:v>
      </x:c>
      <x:c r="K38" s="12" t="n">
        <x:f>Nguon!N39/Nguon!K39</x:f>
        <x:v>0.029254258107389533</x:v>
      </x:c>
      <x:c r="L38" s="12" t="n">
        <x:f>Nguon!O39/Nguon!K39</x:f>
        <x:v>0.021247751246509173</x:v>
      </x:c>
      <x:c r="M38" s="2"/>
      <x:c r="N38" s="2"/>
      <x:c r="O38" s="2"/>
      <x:c r="P38" s="2"/>
      <x:c r="Q38" s="2"/>
      <x:c r="R38" s="2"/>
      <x:c r="S38" s="2"/>
      <x:c r="T38" s="2"/>
      <x:c r="U38" s="2"/>
    </x:row>
    <x:row r="39" ht="26" customHeight="1">
      <x:c r="A39" s="2" t="str">
        <x:v>E06000017</x:v>
      </x:c>
      <x:c r="B39" s="2" t="str">
        <x:v>Tiểu học</x:v>
      </x:c>
      <x:c r="C39" s="2" t="str">
        <x:v>Rutland</x:v>
      </x:c>
      <x:c r="D39" s="12" t="n">
        <x:f>Nguon!F40/Nguon!D40</x:f>
        <x:v>0.09702457956015524</x:v>
      </x:c>
      <x:c r="E39" s="12" t="n">
        <x:f>Nguon!G40/Nguon!E40</x:f>
        <x:v>0.09986443741527339</x:v>
      </x:c>
      <x:c r="F39" s="13" t="n">
        <x:f>(E39-D39)*100</x:f>
        <x:v>0.2839857855118144</x:v>
      </x:c>
      <x:c r="G39" s="12" t="n">
        <x:f>Nguon!H40/Nguon!D40</x:f>
        <x:v>0.015092712376024149</x:v>
      </x:c>
      <x:c r="H39" s="12" t="n">
        <x:f>Nguon!I40/Nguon!E40</x:f>
        <x:v>0.0149118843199277</x:v>
      </x:c>
      <x:c r="I39" s="13" t="n">
        <x:f>(H39-G39)*100</x:f>
        <x:v>-0.01808280560964496</x:v>
      </x:c>
      <x:c r="J39" s="11" t="n">
        <x:f>Nguon!G40-Nguon!I40</x:f>
        <x:v>188</x:v>
      </x:c>
      <x:c r="K39" s="12" t="n">
        <x:f>Nguon!N40/Nguon!K40</x:f>
        <x:v>0.026810224963456808</x:v>
      </x:c>
      <x:c r="L39" s="12" t="n">
        <x:f>Nguon!O40/Nguon!K40</x:f>
        <x:v>0.0028164996969588935</x:v>
      </x:c>
      <x:c r="M39" s="2"/>
      <x:c r="N39" s="2"/>
      <x:c r="O39" s="2"/>
      <x:c r="P39" s="2"/>
      <x:c r="Q39" s="2"/>
      <x:c r="R39" s="2"/>
      <x:c r="S39" s="2"/>
      <x:c r="T39" s="2"/>
      <x:c r="U39" s="2"/>
    </x:row>
    <x:row r="40" ht="26" customHeight="1">
      <x:c r="A40" s="2" t="str">
        <x:v>E06000017</x:v>
      </x:c>
      <x:c r="B40" s="2" t="str">
        <x:v>Trung học</x:v>
      </x:c>
      <x:c r="C40" s="2" t="str">
        <x:v>Rutland</x:v>
      </x:c>
      <x:c r="D40" s="12" t="n">
        <x:f>Nguon!F41/Nguon!D41</x:f>
        <x:v>0.16531713900134953</x:v>
      </x:c>
      <x:c r="E40" s="12" t="n">
        <x:f>Nguon!G41/Nguon!E41</x:f>
        <x:v>0.1872037914691943</x:v>
      </x:c>
      <x:c r="F40" s="13" t="n">
        <x:f>(E40-D40)*100</x:f>
        <x:v>2.1886652467844767</x:v>
      </x:c>
      <x:c r="G40" s="12" t="n">
        <x:f>Nguon!H41/Nguon!D41</x:f>
        <x:v>0.028002699055330635</x:v>
      </x:c>
      <x:c r="H40" s="12" t="n">
        <x:f>Nguon!I41/Nguon!E41</x:f>
        <x:v>0.026066350710900472</x:v>
      </x:c>
      <x:c r="I40" s="13" t="n">
        <x:f>(H40-G40)*100</x:f>
        <x:v>-0.19363483444301624</x:v>
      </x:c>
      <x:c r="J40" s="11" t="n">
        <x:f>Nguon!G41-Nguon!I41</x:f>
        <x:v>476</x:v>
      </x:c>
      <x:c r="K40" s="12" t="n">
        <x:f>Nguon!N41/Nguon!K41</x:f>
        <x:v>0.03887332986749144</x:v>
      </x:c>
      <x:c r="L40" s="12" t="n">
        <x:f>Nguon!O41/Nguon!K41</x:f>
        <x:v>0.01861732074450117</x:v>
      </x:c>
      <x:c r="M40" s="2"/>
      <x:c r="N40" s="2"/>
      <x:c r="O40" s="2"/>
      <x:c r="P40" s="2"/>
      <x:c r="Q40" s="2"/>
      <x:c r="R40" s="2"/>
      <x:c r="S40" s="2"/>
      <x:c r="T40" s="2"/>
      <x:c r="U40" s="2"/>
    </x:row>
    <x:row r="41" ht="26" customHeight="1">
      <x:c r="A41" s="2" t="str">
        <x:v>E06000018</x:v>
      </x:c>
      <x:c r="B41" s="2" t="str">
        <x:v>Tiểu học</x:v>
      </x:c>
      <x:c r="C41" s="2" t="str">
        <x:v>Nottingham</x:v>
      </x:c>
      <x:c r="D41" s="12" t="n">
        <x:f>Nguon!F42/Nguon!D42</x:f>
        <x:v>0.18621078176460393</x:v>
      </x:c>
      <x:c r="E41" s="12" t="n">
        <x:f>Nguon!G42/Nguon!E42</x:f>
        <x:v>0.16982300884955753</x:v>
      </x:c>
      <x:c r="F41" s="13" t="n">
        <x:f>(E41-D41)*100</x:f>
        <x:v>-1.6387772915046395</x:v>
      </x:c>
      <x:c r="G41" s="12" t="n">
        <x:f>Nguon!H42/Nguon!D42</x:f>
        <x:v>0.013823886288784885</x:v>
      </x:c>
      <x:c r="H41" s="12" t="n">
        <x:f>Nguon!I42/Nguon!E42</x:f>
        <x:v>0.013982300884955752</x:v>
      </x:c>
      <x:c r="I41" s="13" t="n">
        <x:f>(H41-G41)*100</x:f>
        <x:v>0.015841459617086696</x:v>
      </x:c>
      <x:c r="J41" s="11" t="n">
        <x:f>Nguon!G42-Nguon!I42</x:f>
        <x:v>3522</x:v>
      </x:c>
      <x:c r="K41" s="12" t="n">
        <x:f>Nguon!N42/Nguon!K42</x:f>
        <x:v>0.025271510764012056</x:v>
      </x:c>
      <x:c r="L41" s="12" t="n">
        <x:f>Nguon!O42/Nguon!K42</x:f>
        <x:v>0.015166103403488139</x:v>
      </x:c>
      <x:c r="M41" s="2"/>
      <x:c r="N41" s="2"/>
      <x:c r="O41" s="2"/>
      <x:c r="P41" s="2"/>
      <x:c r="Q41" s="2"/>
      <x:c r="R41" s="2"/>
      <x:c r="S41" s="2"/>
      <x:c r="T41" s="2"/>
      <x:c r="U41" s="2"/>
    </x:row>
    <x:row r="42" ht="26" customHeight="1">
      <x:c r="A42" s="2" t="str">
        <x:v>E06000018</x:v>
      </x:c>
      <x:c r="B42" s="2" t="str">
        <x:v>Trung học</x:v>
      </x:c>
      <x:c r="C42" s="2" t="str">
        <x:v>Nottingham</x:v>
      </x:c>
      <x:c r="D42" s="12" t="n">
        <x:f>Nguon!F43/Nguon!D43</x:f>
        <x:v>0.23127173111368665</x:v>
      </x:c>
      <x:c r="E42" s="12" t="n">
        <x:f>Nguon!G43/Nguon!E43</x:f>
        <x:v>0.22729678238780696</x:v>
      </x:c>
      <x:c r="F42" s="13" t="n">
        <x:f>(E42-D42)*100</x:f>
        <x:v>-0.39749487258796956</x:v>
      </x:c>
      <x:c r="G42" s="12" t="n">
        <x:f>Nguon!H43/Nguon!D43</x:f>
        <x:v>0.03766726372352755</x:v>
      </x:c>
      <x:c r="H42" s="12" t="n">
        <x:f>Nguon!I43/Nguon!E43</x:f>
        <x:v>0.034398814563928876</x:v>
      </x:c>
      <x:c r="I42" s="13" t="n">
        <x:f>(H42-G42)*100</x:f>
        <x:v>-0.3268449159598674</x:v>
      </x:c>
      <x:c r="J42" s="11" t="n">
        <x:f>Nguon!G43-Nguon!I43</x:f>
        <x:v>3645</x:v>
      </x:c>
      <x:c r="K42" s="12" t="n">
        <x:f>Nguon!N43/Nguon!K43</x:f>
        <x:v>0.02861962744992523</x:v>
      </x:c>
      <x:c r="L42" s="12" t="n">
        <x:f>Nguon!O43/Nguon!K43</x:f>
        <x:v>0.031304169866918446</x:v>
      </x:c>
      <x:c r="M42" s="2"/>
      <x:c r="N42" s="2"/>
      <x:c r="O42" s="2"/>
      <x:c r="P42" s="2"/>
      <x:c r="Q42" s="2"/>
      <x:c r="R42" s="2"/>
      <x:c r="S42" s="2"/>
      <x:c r="T42" s="2"/>
      <x:c r="U42" s="2"/>
    </x:row>
    <x:row r="43" ht="26" customHeight="1">
      <x:c r="A43" s="2" t="str">
        <x:v>E06000019</x:v>
      </x:c>
      <x:c r="B43" s="2" t="str">
        <x:v>Tiểu học</x:v>
      </x:c>
      <x:c r="C43" s="2" t="str">
        <x:v>Herefordshire, County of</x:v>
      </x:c>
      <x:c r="D43" s="12" t="n">
        <x:f>Nguon!F44/Nguon!D44</x:f>
        <x:v>0.1205623276092179</x:v>
      </x:c>
      <x:c r="E43" s="12" t="n">
        <x:f>Nguon!G44/Nguon!E44</x:f>
        <x:v>0.10835152838427947</x:v>
      </x:c>
      <x:c r="F43" s="13" t="n">
        <x:f>(E43-D43)*100</x:f>
        <x:v>-1.2210799224938422</x:v>
      </x:c>
      <x:c r="G43" s="12" t="n">
        <x:f>Nguon!H44/Nguon!D44</x:f>
        <x:v>0.006406263902482427</x:v>
      </x:c>
      <x:c r="H43" s="12" t="n">
        <x:f>Nguon!I44/Nguon!E44</x:f>
        <x:v>0.008187772925764192</x:v>
      </x:c>
      <x:c r="I43" s="13" t="n">
        <x:f>(H43-G43)*100</x:f>
        <x:v>0.1781509023281765</x:v>
      </x:c>
      <x:c r="J43" s="11" t="n">
        <x:f>Nguon!G44-Nguon!I44</x:f>
        <x:v>1101</x:v>
      </x:c>
      <x:c r="K43" s="12" t="n">
        <x:f>Nguon!N44/Nguon!K44</x:f>
        <x:v>0.02724414411349994</x:v>
      </x:c>
      <x:c r="L43" s="12" t="n">
        <x:f>Nguon!O44/Nguon!K44</x:f>
        <x:v>0.002869459795794069</x:v>
      </x:c>
      <x:c r="M43" s="2"/>
      <x:c r="N43" s="2"/>
      <x:c r="O43" s="2"/>
      <x:c r="P43" s="2"/>
      <x:c r="Q43" s="2"/>
      <x:c r="R43" s="2"/>
      <x:c r="S43" s="2"/>
      <x:c r="T43" s="2"/>
      <x:c r="U43" s="2"/>
    </x:row>
    <x:row r="44" ht="26" customHeight="1">
      <x:c r="A44" s="2" t="str">
        <x:v>E06000019</x:v>
      </x:c>
      <x:c r="B44" s="2" t="str">
        <x:v>Trung học</x:v>
      </x:c>
      <x:c r="C44" s="2" t="str">
        <x:v>Herefordshire, County of</x:v>
      </x:c>
      <x:c r="D44" s="12" t="n">
        <x:f>Nguon!F45/Nguon!D45</x:f>
        <x:v>0.21236333052985704</x:v>
      </x:c>
      <x:c r="E44" s="12" t="n">
        <x:f>Nguon!G45/Nguon!E45</x:f>
        <x:v>0.19796901172529313</x:v>
      </x:c>
      <x:c r="F44" s="13" t="n">
        <x:f>(E44-D44)*100</x:f>
        <x:v>-1.4394318804563904</x:v>
      </x:c>
      <x:c r="G44" s="12" t="n">
        <x:f>Nguon!H45/Nguon!D45</x:f>
        <x:v>0.02764928511354079</x:v>
      </x:c>
      <x:c r="H44" s="12" t="n">
        <x:f>Nguon!I45/Nguon!E45</x:f>
        <x:v>0.02931323283082077</x:v>
      </x:c>
      <x:c r="I44" s="13" t="n">
        <x:f>(H44-G44)*100</x:f>
        <x:v>0.1663947717279981</x:v>
      </x:c>
      <x:c r="J44" s="11" t="n">
        <x:f>Nguon!G45-Nguon!I45</x:f>
        <x:v>1611</x:v>
      </x:c>
      <x:c r="K44" s="12" t="n">
        <x:f>Nguon!N45/Nguon!K45</x:f>
        <x:v>0.04368282195131479</x:v>
      </x:c>
      <x:c r="L44" s="12" t="n">
        <x:f>Nguon!O45/Nguon!K45</x:f>
        <x:v>0.011882833369892815</x:v>
      </x:c>
      <x:c r="M44" s="2"/>
      <x:c r="N44" s="2"/>
      <x:c r="O44" s="2"/>
      <x:c r="P44" s="2"/>
      <x:c r="Q44" s="2"/>
      <x:c r="R44" s="2"/>
      <x:c r="S44" s="2"/>
      <x:c r="T44" s="2"/>
      <x:c r="U44" s="2"/>
    </x:row>
    <x:row r="45" ht="26" customHeight="1">
      <x:c r="A45" s="2" t="str">
        <x:v>E06000020</x:v>
      </x:c>
      <x:c r="B45" s="2" t="str">
        <x:v>Tiểu học</x:v>
      </x:c>
      <x:c r="C45" s="2" t="str">
        <x:v>Telford and Wrekin</x:v>
      </x:c>
      <x:c r="D45" s="12" t="n">
        <x:f>Nguon!F46/Nguon!D46</x:f>
        <x:v>0.12796907940969782</x:v>
      </x:c>
      <x:c r="E45" s="12" t="n">
        <x:f>Nguon!G46/Nguon!E46</x:f>
        <x:v>0.14090876969825453</x:v>
      </x:c>
      <x:c r="F45" s="13" t="n">
        <x:f>(E45-D45)*100</x:f>
        <x:v>1.2939690288556709</x:v>
      </x:c>
      <x:c r="G45" s="12" t="n">
        <x:f>Nguon!H46/Nguon!D46</x:f>
        <x:v>0.007659873506676036</x:v>
      </x:c>
      <x:c r="H45" s="12" t="n">
        <x:f>Nguon!I46/Nguon!E46</x:f>
        <x:v>0.008974630768143595</x:v>
      </x:c>
      <x:c r="I45" s="13" t="n">
        <x:f>(H45-G45)*100</x:f>
        <x:v>0.13147572614675582</x:v>
      </x:c>
      <x:c r="J45" s="11" t="n">
        <x:f>Nguon!G46-Nguon!I46</x:f>
        <x:v>1867</x:v>
      </x:c>
      <x:c r="K45" s="12" t="n">
        <x:f>Nguon!N46/Nguon!K46</x:f>
        <x:v>0.030696714922575887</x:v>
      </x:c>
      <x:c r="L45" s="12" t="n">
        <x:f>Nguon!O46/Nguon!K46</x:f>
        <x:v>0.007447317685648785</x:v>
      </x:c>
      <x:c r="M45" s="2"/>
      <x:c r="N45" s="2"/>
      <x:c r="O45" s="2"/>
      <x:c r="P45" s="2"/>
      <x:c r="Q45" s="2"/>
      <x:c r="R45" s="2"/>
      <x:c r="S45" s="2"/>
      <x:c r="T45" s="2"/>
      <x:c r="U45" s="2"/>
    </x:row>
    <x:row r="46" ht="26" customHeight="1">
      <x:c r="A46" s="2" t="str">
        <x:v>E06000020</x:v>
      </x:c>
      <x:c r="B46" s="2" t="str">
        <x:v>Trung học</x:v>
      </x:c>
      <x:c r="C46" s="2" t="str">
        <x:v>Telford and Wrekin</x:v>
      </x:c>
      <x:c r="D46" s="12" t="n">
        <x:f>Nguon!F47/Nguon!D47</x:f>
        <x:v>0.1950346330453732</x:v>
      </x:c>
      <x:c r="E46" s="12" t="n">
        <x:f>Nguon!G47/Nguon!E47</x:f>
        <x:v>0.2069472381247099</x:v>
      </x:c>
      <x:c r="F46" s="13" t="n">
        <x:f>(E46-D46)*100</x:f>
        <x:v>1.1912605079336696</x:v>
      </x:c>
      <x:c r="G46" s="12" t="n">
        <x:f>Nguon!H47/Nguon!D47</x:f>
        <x:v>0.02926297766363141</x:v>
      </x:c>
      <x:c r="H46" s="12" t="n">
        <x:f>Nguon!I47/Nguon!E47</x:f>
        <x:v>0.027231935633606683</x:v>
      </x:c>
      <x:c r="I46" s="13" t="n">
        <x:f>(H46-G46)*100</x:f>
        <x:v>-0.20310420300247262</x:v>
      </x:c>
      <x:c r="J46" s="11" t="n">
        <x:f>Nguon!G47-Nguon!I47</x:f>
        <x:v>2323</x:v>
      </x:c>
      <x:c r="K46" s="12" t="n">
        <x:f>Nguon!N47/Nguon!K47</x:f>
        <x:v>0.03547081292380277</x:v>
      </x:c>
      <x:c r="L46" s="12" t="n">
        <x:f>Nguon!O47/Nguon!K47</x:f>
        <x:v>0.020972257375415703</x:v>
      </x:c>
      <x:c r="M46" s="2"/>
      <x:c r="N46" s="2"/>
      <x:c r="O46" s="2"/>
      <x:c r="P46" s="2"/>
      <x:c r="Q46" s="2"/>
      <x:c r="R46" s="2"/>
      <x:c r="S46" s="2"/>
      <x:c r="T46" s="2"/>
      <x:c r="U46" s="2"/>
    </x:row>
    <x:row r="47" ht="26" customHeight="1">
      <x:c r="A47" s="2" t="str">
        <x:v>E06000021</x:v>
      </x:c>
      <x:c r="B47" s="2" t="str">
        <x:v>Tiểu học</x:v>
      </x:c>
      <x:c r="C47" s="2" t="str">
        <x:v>Stoke-on-Trent</x:v>
      </x:c>
      <x:c r="D47" s="12" t="n">
        <x:f>Nguon!F48/Nguon!D48</x:f>
        <x:v>0.13665473248953658</x:v>
      </x:c>
      <x:c r="E47" s="12" t="n">
        <x:f>Nguon!G48/Nguon!E48</x:f>
        <x:v>0.14989183063768416</x:v>
      </x:c>
      <x:c r="F47" s="13" t="n">
        <x:f>(E47-D47)*100</x:f>
        <x:v>1.323709814814758</x:v>
      </x:c>
      <x:c r="G47" s="12" t="n">
        <x:f>Nguon!H48/Nguon!D48</x:f>
        <x:v>0.009127124199485654</x:v>
      </x:c>
      <x:c r="H47" s="12" t="n">
        <x:f>Nguon!I48/Nguon!E48</x:f>
        <x:v>0.012259194395796848</x:v>
      </x:c>
      <x:c r="I47" s="13" t="n">
        <x:f>(H47-G47)*100</x:f>
        <x:v>0.31320701963111935</x:v>
      </x:c>
      <x:c r="J47" s="11" t="n">
        <x:f>Nguon!G48-Nguon!I48</x:f>
        <x:v>2672</x:v>
      </x:c>
      <x:c r="K47" s="12" t="n">
        <x:f>Nguon!N48/Nguon!K48</x:f>
        <x:v>0.029240063115517075</x:v>
      </x:c>
      <x:c r="L47" s="12" t="n">
        <x:f>Nguon!O48/Nguon!K48</x:f>
        <x:v>0.008727152002467497</x:v>
      </x:c>
      <x:c r="M47" s="2"/>
      <x:c r="N47" s="2"/>
      <x:c r="O47" s="2"/>
      <x:c r="P47" s="2"/>
      <x:c r="Q47" s="2"/>
      <x:c r="R47" s="2"/>
      <x:c r="S47" s="2"/>
      <x:c r="T47" s="2"/>
      <x:c r="U47" s="2"/>
    </x:row>
    <x:row r="48" ht="26" customHeight="1">
      <x:c r="A48" s="2" t="str">
        <x:v>E06000021</x:v>
      </x:c>
      <x:c r="B48" s="2" t="str">
        <x:v>Trung học</x:v>
      </x:c>
      <x:c r="C48" s="2" t="str">
        <x:v>Stoke-on-Trent</x:v>
      </x:c>
      <x:c r="D48" s="12" t="n">
        <x:f>Nguon!F49/Nguon!D49</x:f>
        <x:v>0.23150435574047587</x:v>
      </x:c>
      <x:c r="E48" s="12" t="n">
        <x:f>Nguon!G49/Nguon!E49</x:f>
        <x:v>0.24395731550527128</x:v>
      </x:c>
      <x:c r="F48" s="13" t="n">
        <x:f>(E48-D48)*100</x:f>
        <x:v>1.2452959764795408</x:v>
      </x:c>
      <x:c r="G48" s="12" t="n">
        <x:f>Nguon!H49/Nguon!D49</x:f>
        <x:v>0.03361071382134963</x:v>
      </x:c>
      <x:c r="H48" s="12" t="n">
        <x:f>Nguon!I49/Nguon!E49</x:f>
        <x:v>0.03387760349704294</x:v>
      </x:c>
      <x:c r="I48" s="13" t="n">
        <x:f>(H48-G48)*100</x:f>
        <x:v>0.026688967569331312</x:v>
      </x:c>
      <x:c r="J48" s="11" t="n">
        <x:f>Nguon!G49-Nguon!I49</x:f>
        <x:v>3268</x:v>
      </x:c>
      <x:c r="K48" s="12" t="n">
        <x:f>Nguon!N49/Nguon!K49</x:f>
        <x:v>0.032566151832448424</x:v>
      </x:c>
      <x:c r="L48" s="12" t="n">
        <x:f>Nguon!O49/Nguon!K49</x:f>
        <x:v>0.03182706986440291</x:v>
      </x:c>
      <x:c r="M48" s="2"/>
      <x:c r="N48" s="2"/>
      <x:c r="O48" s="2"/>
      <x:c r="P48" s="2"/>
      <x:c r="Q48" s="2"/>
      <x:c r="R48" s="2"/>
      <x:c r="S48" s="2"/>
      <x:c r="T48" s="2"/>
      <x:c r="U48" s="2"/>
    </x:row>
    <x:row r="49" ht="26" customHeight="1">
      <x:c r="A49" s="2" t="str">
        <x:v>E06000022</x:v>
      </x:c>
      <x:c r="B49" s="2" t="str">
        <x:v>Tiểu học</x:v>
      </x:c>
      <x:c r="C49" s="2" t="str">
        <x:v>Bath and North East Somerset</x:v>
      </x:c>
      <x:c r="D49" s="12" t="n">
        <x:f>Nguon!F50/Nguon!D50</x:f>
        <x:v>0.11616615716597735</x:v>
      </x:c>
      <x:c r="E49" s="12" t="n">
        <x:f>Nguon!G50/Nguon!E50</x:f>
        <x:v>0.1069615663524293</x:v>
      </x:c>
      <x:c r="F49" s="13" t="n">
        <x:f>(E49-D49)*100</x:f>
        <x:v>-0.9204590813548047</x:v>
      </x:c>
      <x:c r="G49" s="12" t="n">
        <x:f>Nguon!H50/Nguon!D50</x:f>
        <x:v>0.006114008271893544</x:v>
      </x:c>
      <x:c r="H49" s="12" t="n">
        <x:f>Nguon!I50/Nguon!E50</x:f>
        <x:v>0.00779550398839739</x:v>
      </x:c>
      <x:c r="I49" s="13" t="n">
        <x:f>(H49-G49)*100</x:f>
        <x:v>0.16814957165038458</x:v>
      </x:c>
      <x:c r="J49" s="11" t="n">
        <x:f>Nguon!G50-Nguon!I50</x:f>
        <x:v>1094</x:v>
      </x:c>
      <x:c r="K49" s="12" t="n">
        <x:f>Nguon!N50/Nguon!K50</x:f>
        <x:v>0.026963951997479214</x:v>
      </x:c>
      <x:c r="L49" s="12" t="n">
        <x:f>Nguon!O50/Nguon!K50</x:f>
        <x:v>0.00374531355473038</x:v>
      </x:c>
      <x:c r="M49" s="2"/>
      <x:c r="N49" s="2"/>
      <x:c r="O49" s="2"/>
      <x:c r="P49" s="2"/>
      <x:c r="Q49" s="2"/>
      <x:c r="R49" s="2"/>
      <x:c r="S49" s="2"/>
      <x:c r="T49" s="2"/>
      <x:c r="U49" s="2"/>
    </x:row>
    <x:row r="50" ht="26" customHeight="1">
      <x:c r="A50" s="2" t="str">
        <x:v>E06000022</x:v>
      </x:c>
      <x:c r="B50" s="2" t="str">
        <x:v>Trung học</x:v>
      </x:c>
      <x:c r="C50" s="2" t="str">
        <x:v>Bath and North East Somerset</x:v>
      </x:c>
      <x:c r="D50" s="12" t="n">
        <x:f>Nguon!F51/Nguon!D51</x:f>
        <x:v>0.20264756550911234</x:v>
      </x:c>
      <x:c r="E50" s="12" t="n">
        <x:f>Nguon!G51/Nguon!E51</x:f>
        <x:v>0.20885844748858448</x:v>
      </x:c>
      <x:c r="F50" s="13" t="n">
        <x:f>(E50-D50)*100</x:f>
        <x:v>0.6210881979472144</x:v>
      </x:c>
      <x:c r="G50" s="12" t="n">
        <x:f>Nguon!H51/Nguon!D51</x:f>
        <x:v>0.03191585819203917</x:v>
      </x:c>
      <x:c r="H50" s="12" t="n">
        <x:f>Nguon!I51/Nguon!E51</x:f>
        <x:v>0.03305936073059361</x:v>
      </x:c>
      <x:c r="I50" s="13" t="n">
        <x:f>(H50-G50)*100</x:f>
        <x:v>0.11435025385544417</x:v>
      </x:c>
      <x:c r="J50" s="11" t="n">
        <x:f>Nguon!G51-Nguon!I51</x:f>
        <x:v>1925</x:v>
      </x:c>
      <x:c r="K50" s="12" t="n">
        <x:f>Nguon!N51/Nguon!K51</x:f>
        <x:v>0.043122357755173826</x:v>
      </x:c>
      <x:c r="L50" s="12" t="n">
        <x:f>Nguon!O51/Nguon!K51</x:f>
        <x:v>0.01620554869766725</x:v>
      </x:c>
      <x:c r="M50" s="2"/>
      <x:c r="N50" s="2"/>
      <x:c r="O50" s="2"/>
      <x:c r="P50" s="2"/>
      <x:c r="Q50" s="2"/>
      <x:c r="R50" s="2"/>
      <x:c r="S50" s="2"/>
      <x:c r="T50" s="2"/>
      <x:c r="U50" s="2"/>
    </x:row>
    <x:row r="51" ht="26" customHeight="1">
      <x:c r="A51" s="2" t="str">
        <x:v>E06000023</x:v>
      </x:c>
      <x:c r="B51" s="2" t="str">
        <x:v>Tiểu học</x:v>
      </x:c>
      <x:c r="C51" s="2" t="str">
        <x:v>Bristol, City of</x:v>
      </x:c>
      <x:c r="D51" s="12" t="n">
        <x:f>Nguon!F52/Nguon!D52</x:f>
        <x:v>0.1575120070351079</x:v>
      </x:c>
      <x:c r="E51" s="12" t="n">
        <x:f>Nguon!G52/Nguon!E52</x:f>
        <x:v>0.16064480266814898</x:v>
      </x:c>
      <x:c r="F51" s="13" t="n">
        <x:f>(E51-D51)*100</x:f>
        <x:v>0.31327956330410855</x:v>
      </x:c>
      <x:c r="G51" s="12" t="n">
        <x:f>Nguon!H52/Nguon!D52</x:f>
        <x:v>0.012649665155922344</x:v>
      </x:c>
      <x:c r="H51" s="12" t="n">
        <x:f>Nguon!I52/Nguon!E52</x:f>
        <x:v>0.014938854919399667</x:v>
      </x:c>
      <x:c r="I51" s="13" t="n">
        <x:f>(H51-G51)*100</x:f>
        <x:v>0.22891897634773234</x:v>
      </x:c>
      <x:c r="J51" s="11" t="n">
        <x:f>Nguon!G52-Nguon!I52</x:f>
        <x:v>4194</x:v>
      </x:c>
      <x:c r="K51" s="12" t="n">
        <x:f>Nguon!N52/Nguon!K52</x:f>
        <x:v>0.03147449633281098</x:v>
      </x:c>
      <x:c r="L51" s="12" t="n">
        <x:f>Nguon!O52/Nguon!K52</x:f>
        <x:v>0.008233562796729705</x:v>
      </x:c>
      <x:c r="M51" s="2"/>
      <x:c r="N51" s="2"/>
      <x:c r="O51" s="2"/>
      <x:c r="P51" s="2"/>
      <x:c r="Q51" s="2"/>
      <x:c r="R51" s="2"/>
      <x:c r="S51" s="2"/>
      <x:c r="T51" s="2"/>
      <x:c r="U51" s="2"/>
    </x:row>
    <x:row r="52" ht="26" customHeight="1">
      <x:c r="A52" s="2" t="str">
        <x:v>E06000023</x:v>
      </x:c>
      <x:c r="B52" s="2" t="str">
        <x:v>Trung học</x:v>
      </x:c>
      <x:c r="C52" s="2" t="str">
        <x:v>Bristol, City of</x:v>
      </x:c>
      <x:c r="D52" s="12" t="n">
        <x:f>Nguon!F53/Nguon!D53</x:f>
        <x:v>0.2608883698801955</x:v>
      </x:c>
      <x:c r="E52" s="12" t="n">
        <x:f>Nguon!G53/Nguon!E53</x:f>
        <x:v>0.2771203580188476</x:v>
      </x:c>
      <x:c r="F52" s="13" t="n">
        <x:f>(E52-D52)*100</x:f>
        <x:v>1.623198813865212</x:v>
      </x:c>
      <x:c r="G52" s="12" t="n">
        <x:f>Nguon!H53/Nguon!D53</x:f>
        <x:v>0.042255957787292936</x:v>
      </x:c>
      <x:c r="H52" s="12" t="n">
        <x:f>Nguon!I53/Nguon!E53</x:f>
        <x:v>0.04505357373380955</x:v>
      </x:c>
      <x:c r="I52" s="13" t="n">
        <x:f>(H52-G52)*100</x:f>
        <x:v>0.27976159465166117</x:v>
      </x:c>
      <x:c r="J52" s="11" t="n">
        <x:f>Nguon!G53-Nguon!I53</x:f>
        <x:v>5393</x:v>
      </x:c>
      <x:c r="K52" s="12" t="n">
        <x:f>Nguon!N53/Nguon!K53</x:f>
        <x:v>0.049145481962295165</x:v>
      </x:c>
      <x:c r="L52" s="12" t="n">
        <x:f>Nguon!O53/Nguon!K53</x:f>
        <x:v>0.02373369660117053</x:v>
      </x:c>
      <x:c r="M52" s="2"/>
      <x:c r="N52" s="2"/>
      <x:c r="O52" s="2"/>
      <x:c r="P52" s="2"/>
      <x:c r="Q52" s="2"/>
      <x:c r="R52" s="2"/>
      <x:c r="S52" s="2"/>
      <x:c r="T52" s="2"/>
      <x:c r="U52" s="2"/>
    </x:row>
    <x:row r="53" ht="26" customHeight="1">
      <x:c r="A53" s="2" t="str">
        <x:v>E06000024</x:v>
      </x:c>
      <x:c r="B53" s="2" t="str">
        <x:v>Tiểu học</x:v>
      </x:c>
      <x:c r="C53" s="2" t="str">
        <x:v>North Somerset</x:v>
      </x:c>
      <x:c r="D53" s="12" t="n">
        <x:f>Nguon!F54/Nguon!D54</x:f>
        <x:v>0.12829268292682927</x:v>
      </x:c>
      <x:c r="E53" s="12" t="n">
        <x:f>Nguon!G54/Nguon!E54</x:f>
        <x:v>0.12445492887268568</x:v>
      </x:c>
      <x:c r="F53" s="13" t="n">
        <x:f>(E53-D53)*100</x:f>
        <x:v>-0.3837754054143591</x:v>
      </x:c>
      <x:c r="G53" s="12" t="n">
        <x:f>Nguon!H54/Nguon!D54</x:f>
        <x:v>0.007665505226480836</x:v>
      </x:c>
      <x:c r="H53" s="12" t="n">
        <x:f>Nguon!I54/Nguon!E54</x:f>
        <x:v>0.008292229608978484</x:v>
      </x:c>
      <x:c r="I53" s="13" t="n">
        <x:f>(H53-G53)*100</x:f>
        <x:v>0.06267243824976476</x:v>
      </x:c>
      <x:c r="J53" s="11" t="n">
        <x:f>Nguon!G54-Nguon!I54</x:f>
        <x:v>1625</x:v>
      </x:c>
      <x:c r="K53" s="12" t="n">
        <x:f>Nguon!N54/Nguon!K54</x:f>
        <x:v>0.030211385881769096</x:v>
      </x:c>
      <x:c r="L53" s="12" t="n">
        <x:f>Nguon!O54/Nguon!K54</x:f>
        <x:v>0.003974251444203602</x:v>
      </x:c>
      <x:c r="M53" s="2"/>
      <x:c r="N53" s="2"/>
      <x:c r="O53" s="2"/>
      <x:c r="P53" s="2"/>
      <x:c r="Q53" s="2"/>
      <x:c r="R53" s="2"/>
      <x:c r="S53" s="2"/>
      <x:c r="T53" s="2"/>
      <x:c r="U53" s="2"/>
    </x:row>
    <x:row r="54" ht="26" customHeight="1">
      <x:c r="A54" s="2" t="str">
        <x:v>E06000024</x:v>
      </x:c>
      <x:c r="B54" s="2" t="str">
        <x:v>Trung học</x:v>
      </x:c>
      <x:c r="C54" s="2" t="str">
        <x:v>North Somerset</x:v>
      </x:c>
      <x:c r="D54" s="12" t="n">
        <x:f>Nguon!F55/Nguon!D55</x:f>
        <x:v>0.2366412213740458</x:v>
      </x:c>
      <x:c r="E54" s="12" t="n">
        <x:f>Nguon!G55/Nguon!E55</x:f>
        <x:v>0.23376011310973216</x:v>
      </x:c>
      <x:c r="F54" s="13" t="n">
        <x:f>(E54-D54)*100</x:f>
        <x:v>-0.28811082643136476</x:v>
      </x:c>
      <x:c r="G54" s="12" t="n">
        <x:f>Nguon!H55/Nguon!D55</x:f>
        <x:v>0.03855740769590279</x:v>
      </x:c>
      <x:c r="H54" s="12" t="n">
        <x:f>Nguon!I55/Nguon!E55</x:f>
        <x:v>0.03809598617547718</x:v>
      </x:c>
      <x:c r="I54" s="13" t="n">
        <x:f>(H54-G54)*100</x:f>
        <x:v>-0.04614215204256089</x:v>
      </x:c>
      <x:c r="J54" s="11" t="n">
        <x:f>Nguon!G55-Nguon!I55</x:f>
        <x:v>2491</x:v>
      </x:c>
      <x:c r="K54" s="12" t="n">
        <x:f>Nguon!N55/Nguon!K55</x:f>
        <x:v>0.045826770118415974</x:v>
      </x:c>
      <x:c r="L54" s="12" t="n">
        <x:f>Nguon!O55/Nguon!K55</x:f>
        <x:v>0.017848121807152437</x:v>
      </x:c>
      <x:c r="M54" s="2"/>
      <x:c r="N54" s="2"/>
      <x:c r="O54" s="2"/>
      <x:c r="P54" s="2"/>
      <x:c r="Q54" s="2"/>
      <x:c r="R54" s="2"/>
      <x:c r="S54" s="2"/>
      <x:c r="T54" s="2"/>
      <x:c r="U54" s="2"/>
    </x:row>
    <x:row r="55" ht="26" customHeight="1">
      <x:c r="A55" s="2" t="str">
        <x:v>E06000025</x:v>
      </x:c>
      <x:c r="B55" s="2" t="str">
        <x:v>Tiểu học</x:v>
      </x:c>
      <x:c r="C55" s="2" t="str">
        <x:v>South Gloucestershire</x:v>
      </x:c>
      <x:c r="D55" s="12" t="n">
        <x:f>Nguon!F56/Nguon!D56</x:f>
        <x:v>0.13903352961214657</x:v>
      </x:c>
      <x:c r="E55" s="12" t="n">
        <x:f>Nguon!G56/Nguon!E56</x:f>
        <x:v>0.1266049567034936</x:v>
      </x:c>
      <x:c r="F55" s="13" t="n">
        <x:f>(E55-D55)*100</x:f>
        <x:v>-1.2428572908652984</x:v>
      </x:c>
      <x:c r="G55" s="12" t="n">
        <x:f>Nguon!H56/Nguon!D56</x:f>
        <x:v>0.010803445423134946</x:v>
      </x:c>
      <x:c r="H55" s="12" t="n">
        <x:f>Nguon!I56/Nguon!E56</x:f>
        <x:v>0.00980392156862745</x:v>
      </x:c>
      <x:c r="I55" s="13" t="n">
        <x:f>(H55-G55)*100</x:f>
        <x:v>-0.09995238545074947</x:v>
      </x:c>
      <x:c r="J55" s="11" t="n">
        <x:f>Nguon!G56-Nguon!I56</x:f>
        <x:v>2347</x:v>
      </x:c>
      <x:c r="K55" s="12" t="n">
        <x:f>Nguon!N56/Nguon!K56</x:f>
        <x:v>0.028123002227648183</x:v>
      </x:c>
      <x:c r="L55" s="12" t="n">
        <x:f>Nguon!O56/Nguon!K56</x:f>
        <x:v>0.004532743048808307</x:v>
      </x:c>
      <x:c r="M55" s="2"/>
      <x:c r="N55" s="2"/>
      <x:c r="O55" s="2"/>
      <x:c r="P55" s="2"/>
      <x:c r="Q55" s="2"/>
      <x:c r="R55" s="2"/>
      <x:c r="S55" s="2"/>
      <x:c r="T55" s="2"/>
      <x:c r="U55" s="2"/>
    </x:row>
    <x:row r="56" ht="26" customHeight="1">
      <x:c r="A56" s="2" t="str">
        <x:v>E06000025</x:v>
      </x:c>
      <x:c r="B56" s="2" t="str">
        <x:v>Trung học</x:v>
      </x:c>
      <x:c r="C56" s="2" t="str">
        <x:v>South Gloucestershire</x:v>
      </x:c>
      <x:c r="D56" s="12" t="n">
        <x:f>Nguon!F57/Nguon!D57</x:f>
        <x:v>0.22606539189453762</x:v>
      </x:c>
      <x:c r="E56" s="12" t="n">
        <x:f>Nguon!G57/Nguon!E57</x:f>
        <x:v>0.23387255223000852</x:v>
      </x:c>
      <x:c r="F56" s="13" t="n">
        <x:f>(E56-D56)*100</x:f>
        <x:v>0.7807160335470908</x:v>
      </x:c>
      <x:c r="G56" s="12" t="n">
        <x:f>Nguon!H57/Nguon!D57</x:f>
        <x:v>0.03830842524309861</x:v>
      </x:c>
      <x:c r="H56" s="12" t="n">
        <x:f>Nguon!I57/Nguon!E57</x:f>
        <x:v>0.04132556159538935</x:v>
      </x:c>
      <x:c r="I56" s="13" t="n">
        <x:f>(H56-G56)*100</x:f>
        <x:v>0.3017136352290742</x:v>
      </x:c>
      <x:c r="J56" s="11" t="n">
        <x:f>Nguon!G57-Nguon!I57</x:f>
        <x:v>2940</x:v>
      </x:c>
      <x:c r="K56" s="12" t="n">
        <x:f>Nguon!N57/Nguon!K57</x:f>
        <x:v>0.045820284634973646</x:v>
      </x:c>
      <x:c r="L56" s="12" t="n">
        <x:f>Nguon!O57/Nguon!K57</x:f>
        <x:v>0.018939253619203126</x:v>
      </x:c>
      <x:c r="M56" s="2"/>
      <x:c r="N56" s="2"/>
      <x:c r="O56" s="2"/>
      <x:c r="P56" s="2"/>
      <x:c r="Q56" s="2"/>
      <x:c r="R56" s="2"/>
      <x:c r="S56" s="2"/>
      <x:c r="T56" s="2"/>
      <x:c r="U56" s="2"/>
    </x:row>
    <x:row r="57" ht="26" customHeight="1">
      <x:c r="A57" s="2" t="str">
        <x:v>E06000026</x:v>
      </x:c>
      <x:c r="B57" s="2" t="str">
        <x:v>Tiểu học</x:v>
      </x:c>
      <x:c r="C57" s="2" t="str">
        <x:v>Plymouth</x:v>
      </x:c>
      <x:c r="D57" s="12" t="n">
        <x:f>Nguon!F58/Nguon!D58</x:f>
        <x:v>0.1548235294117647</x:v>
      </x:c>
      <x:c r="E57" s="12" t="n">
        <x:f>Nguon!G58/Nguon!E58</x:f>
        <x:v>0.14405289015588038</x:v>
      </x:c>
      <x:c r="F57" s="13" t="n">
        <x:f>(E57-D57)*100</x:f>
        <x:v>-1.0770639255884311</x:v>
      </x:c>
      <x:c r="G57" s="12" t="n">
        <x:f>Nguon!H58/Nguon!D58</x:f>
        <x:v>0.008411764705882353</x:v>
      </x:c>
      <x:c r="H57" s="12" t="n">
        <x:f>Nguon!I58/Nguon!E58</x:f>
        <x:v>0.009886577303329896</x:v>
      </x:c>
      <x:c r="I57" s="13" t="n">
        <x:f>(H57-G57)*100</x:f>
        <x:v>0.14748125974475434</x:v>
      </x:c>
      <x:c r="J57" s="11" t="n">
        <x:f>Nguon!G58-Nguon!I58</x:f>
        <x:v>2212</x:v>
      </x:c>
      <x:c r="K57" s="12" t="n">
        <x:f>Nguon!N58/Nguon!K58</x:f>
        <x:v>0.03035459818452005</x:v>
      </x:c>
      <x:c r="L57" s="12" t="n">
        <x:f>Nguon!O58/Nguon!K58</x:f>
        <x:v>0.005506578173276797</x:v>
      </x:c>
      <x:c r="M57" s="2"/>
      <x:c r="N57" s="2"/>
      <x:c r="O57" s="2"/>
      <x:c r="P57" s="2"/>
      <x:c r="Q57" s="2"/>
      <x:c r="R57" s="2"/>
      <x:c r="S57" s="2"/>
      <x:c r="T57" s="2"/>
      <x:c r="U57" s="2"/>
    </x:row>
    <x:row r="58" ht="26" customHeight="1">
      <x:c r="A58" s="2" t="str">
        <x:v>E06000026</x:v>
      </x:c>
      <x:c r="B58" s="2" t="str">
        <x:v>Trung học</x:v>
      </x:c>
      <x:c r="C58" s="2" t="str">
        <x:v>Plymouth</x:v>
      </x:c>
      <x:c r="D58" s="12" t="n">
        <x:f>Nguon!F59/Nguon!D59</x:f>
        <x:v>0.2787074437391806</x:v>
      </x:c>
      <x:c r="E58" s="12" t="n">
        <x:f>Nguon!G59/Nguon!E59</x:f>
        <x:v>0.2607200778462537</x:v>
      </x:c>
      <x:c r="F58" s="13" t="n">
        <x:f>(E58-D58)*100</x:f>
        <x:v>-1.7987365892926932</x:v>
      </x:c>
      <x:c r="G58" s="12" t="n">
        <x:f>Nguon!H59/Nguon!D59</x:f>
        <x:v>0.04815028531127781</x:v>
      </x:c>
      <x:c r="H58" s="12" t="n">
        <x:f>Nguon!I59/Nguon!E59</x:f>
        <x:v>0.03775543301978592</x:v>
      </x:c>
      <x:c r="I58" s="13" t="n">
        <x:f>(H58-G58)*100</x:f>
        <x:v>-1.039485229149189</x:v>
      </x:c>
      <x:c r="J58" s="11" t="n">
        <x:f>Nguon!G59-Nguon!I59</x:f>
        <x:v>3437</x:v>
      </x:c>
      <x:c r="K58" s="12" t="n">
        <x:f>Nguon!N59/Nguon!K59</x:f>
        <x:v>0.046395981532721044</x:v>
      </x:c>
      <x:c r="L58" s="12" t="n">
        <x:f>Nguon!O59/Nguon!K59</x:f>
        <x:v>0.023997700464837426</x:v>
      </x:c>
      <x:c r="M58" s="2"/>
      <x:c r="N58" s="2"/>
      <x:c r="O58" s="2"/>
      <x:c r="P58" s="2"/>
      <x:c r="Q58" s="2"/>
      <x:c r="R58" s="2"/>
      <x:c r="S58" s="2"/>
      <x:c r="T58" s="2"/>
      <x:c r="U58" s="2"/>
    </x:row>
    <x:row r="59" ht="26" customHeight="1">
      <x:c r="A59" s="2" t="str">
        <x:v>E06000027</x:v>
      </x:c>
      <x:c r="B59" s="2" t="str">
        <x:v>Tiểu học</x:v>
      </x:c>
      <x:c r="C59" s="2" t="str">
        <x:v>Torbay</x:v>
      </x:c>
      <x:c r="D59" s="12" t="n">
        <x:f>Nguon!F60/Nguon!D60</x:f>
        <x:v>0.15400817742535003</x:v>
      </x:c>
      <x:c r="E59" s="12" t="n">
        <x:f>Nguon!G60/Nguon!E60</x:f>
        <x:v>0.15007878151260504</x:v>
      </x:c>
      <x:c r="F59" s="13" t="n">
        <x:f>(E59-D59)*100</x:f>
        <x:v>-0.3929395912744993</x:v>
      </x:c>
      <x:c r="G59" s="12" t="n">
        <x:f>Nguon!H60/Nguon!D60</x:f>
        <x:v>0.01077933341593359</x:v>
      </x:c>
      <x:c r="H59" s="12" t="n">
        <x:f>Nguon!I60/Nguon!E60</x:f>
        <x:v>0.0116859243697479</x:v>
      </x:c>
      <x:c r="I59" s="13" t="n">
        <x:f>(H59-G59)*100</x:f>
        <x:v>0.09065909538143094</x:v>
      </x:c>
      <x:c r="J59" s="11" t="n">
        <x:f>Nguon!G60-Nguon!I60</x:f>
        <x:v>1054</x:v>
      </x:c>
      <x:c r="K59" s="12" t="n">
        <x:f>Nguon!N60/Nguon!K60</x:f>
        <x:v>0.03373580246217514</x:v>
      </x:c>
      <x:c r="L59" s="12" t="n">
        <x:f>Nguon!O60/Nguon!K60</x:f>
        <x:v>0.007102175287850469</x:v>
      </x:c>
      <x:c r="M59" s="2"/>
      <x:c r="N59" s="2"/>
      <x:c r="O59" s="2"/>
      <x:c r="P59" s="2"/>
      <x:c r="Q59" s="2"/>
      <x:c r="R59" s="2"/>
      <x:c r="S59" s="2"/>
      <x:c r="T59" s="2"/>
      <x:c r="U59" s="2"/>
    </x:row>
    <x:row r="60" ht="26" customHeight="1">
      <x:c r="A60" s="2" t="str">
        <x:v>E06000027</x:v>
      </x:c>
      <x:c r="B60" s="2" t="str">
        <x:v>Trung học</x:v>
      </x:c>
      <x:c r="C60" s="2" t="str">
        <x:v>Torbay</x:v>
      </x:c>
      <x:c r="D60" s="12" t="n">
        <x:f>Nguon!F61/Nguon!D61</x:f>
        <x:v>0.21951810146506842</x:v>
      </x:c>
      <x:c r="E60" s="12" t="n">
        <x:f>Nguon!G61/Nguon!E61</x:f>
        <x:v>0.23737864077669904</x:v>
      </x:c>
      <x:c r="F60" s="13" t="n">
        <x:f>(E60-D60)*100</x:f>
        <x:v>1.7860539311630619</x:v>
      </x:c>
      <x:c r="G60" s="12" t="n">
        <x:f>Nguon!H61/Nguon!D61</x:f>
        <x:v>0.042014771764136094</x:v>
      </x:c>
      <x:c r="H60" s="12" t="n">
        <x:f>Nguon!I61/Nguon!E61</x:f>
        <x:v>0.036650485436893206</x:v>
      </x:c>
      <x:c r="I60" s="13" t="n">
        <x:f>(H60-G60)*100</x:f>
        <x:v>-0.5364286327242889</x:v>
      </x:c>
      <x:c r="J60" s="11" t="n">
        <x:f>Nguon!G61-Nguon!I61</x:f>
        <x:v>1654</x:v>
      </x:c>
      <x:c r="K60" s="12" t="n">
        <x:f>Nguon!N61/Nguon!K61</x:f>
        <x:v>0.053624942344245356</x:v>
      </x:c>
      <x:c r="L60" s="12" t="n">
        <x:f>Nguon!O61/Nguon!K61</x:f>
        <x:v>0.019097887741036466</x:v>
      </x:c>
      <x:c r="M60" s="2"/>
      <x:c r="N60" s="2"/>
      <x:c r="O60" s="2"/>
      <x:c r="P60" s="2"/>
      <x:c r="Q60" s="2"/>
      <x:c r="R60" s="2"/>
      <x:c r="S60" s="2"/>
      <x:c r="T60" s="2"/>
      <x:c r="U60" s="2"/>
    </x:row>
    <x:row r="61" ht="26" customHeight="1">
      <x:c r="A61" s="2" t="str">
        <x:v>E06000030</x:v>
      </x:c>
      <x:c r="B61" s="2" t="str">
        <x:v>Tiểu học</x:v>
      </x:c>
      <x:c r="C61" s="2" t="str">
        <x:v>Swindon</x:v>
      </x:c>
      <x:c r="D61" s="12" t="n">
        <x:f>Nguon!F62/Nguon!D62</x:f>
        <x:v>0.13305874949945656</x:v>
      </x:c>
      <x:c r="E61" s="12" t="n">
        <x:f>Nguon!G62/Nguon!E62</x:f>
        <x:v>0.1274982365389137</x:v>
      </x:c>
      <x:c r="F61" s="13" t="n">
        <x:f>(E61-D61)*100</x:f>
        <x:v>-0.5560512960542857</x:v>
      </x:c>
      <x:c r="G61" s="12" t="n">
        <x:f>Nguon!H62/Nguon!D62</x:f>
        <x:v>0.00760826039700246</x:v>
      </x:c>
      <x:c r="H61" s="12" t="n">
        <x:f>Nguon!I62/Nguon!E62</x:f>
        <x:v>0.00887608746766988</x:v>
      </x:c>
      <x:c r="I61" s="13" t="n">
        <x:f>(H61-G61)*100</x:f>
        <x:v>0.126782707066742</x:v>
      </x:c>
      <x:c r="J61" s="11" t="n">
        <x:f>Nguon!G62-Nguon!I62</x:f>
        <x:v>2018</x:v>
      </x:c>
      <x:c r="K61" s="12" t="n">
        <x:f>Nguon!N62/Nguon!K62</x:f>
        <x:v>0.028345781883290518</x:v>
      </x:c>
      <x:c r="L61" s="12" t="n">
        <x:f>Nguon!O62/Nguon!K62</x:f>
        <x:v>0.006510870034233334</x:v>
      </x:c>
      <x:c r="M61" s="2"/>
      <x:c r="N61" s="2"/>
      <x:c r="O61" s="2"/>
      <x:c r="P61" s="2"/>
      <x:c r="Q61" s="2"/>
      <x:c r="R61" s="2"/>
      <x:c r="S61" s="2"/>
      <x:c r="T61" s="2"/>
      <x:c r="U61" s="2"/>
    </x:row>
    <x:row r="62" ht="26" customHeight="1">
      <x:c r="A62" s="2" t="str">
        <x:v>E06000030</x:v>
      </x:c>
      <x:c r="B62" s="2" t="str">
        <x:v>Trung học</x:v>
      </x:c>
      <x:c r="C62" s="2" t="str">
        <x:v>Swindon</x:v>
      </x:c>
      <x:c r="D62" s="12" t="n">
        <x:f>Nguon!F63/Nguon!D63</x:f>
        <x:v>0.22867513611615245</x:v>
      </x:c>
      <x:c r="E62" s="12" t="n">
        <x:f>Nguon!G63/Nguon!E63</x:f>
        <x:v>0.21753676726841847</x:v>
      </x:c>
      <x:c r="F62" s="13" t="n">
        <x:f>(E62-D62)*100</x:f>
        <x:v>-1.1138368847733977</x:v>
      </x:c>
      <x:c r="G62" s="12" t="n">
        <x:f>Nguon!H63/Nguon!D63</x:f>
        <x:v>0.03685606589417842</x:v>
      </x:c>
      <x:c r="H62" s="12" t="n">
        <x:f>Nguon!I63/Nguon!E63</x:f>
        <x:v>0.03610510908203806</x:v>
      </x:c>
      <x:c r="I62" s="13" t="n">
        <x:f>(H62-G62)*100</x:f>
        <x:v>-0.0750956812140359</x:v>
      </x:c>
      <x:c r="J62" s="11" t="n">
        <x:f>Nguon!G63-Nguon!I63</x:f>
        <x:v>2603</x:v>
      </x:c>
      <x:c r="K62" s="12" t="n">
        <x:f>Nguon!N63/Nguon!K63</x:f>
        <x:v>0.03644443746104573</x:v>
      </x:c>
      <x:c r="L62" s="12" t="n">
        <x:f>Nguon!O63/Nguon!K63</x:f>
        <x:v>0.021907096355189625</x:v>
      </x:c>
      <x:c r="M62" s="2"/>
      <x:c r="N62" s="2"/>
      <x:c r="O62" s="2"/>
      <x:c r="P62" s="2"/>
      <x:c r="Q62" s="2"/>
      <x:c r="R62" s="2"/>
      <x:c r="S62" s="2"/>
      <x:c r="T62" s="2"/>
      <x:c r="U62" s="2"/>
    </x:row>
    <x:row r="63" ht="26" customHeight="1">
      <x:c r="A63" s="2" t="str">
        <x:v>E06000031</x:v>
      </x:c>
      <x:c r="B63" s="2" t="str">
        <x:v>Tiểu học</x:v>
      </x:c>
      <x:c r="C63" s="2" t="str">
        <x:v>Peterborough</x:v>
      </x:c>
      <x:c r="D63" s="12" t="n">
        <x:f>Nguon!F64/Nguon!D64</x:f>
        <x:v>0.13928218636812645</x:v>
      </x:c>
      <x:c r="E63" s="12" t="n">
        <x:f>Nguon!G64/Nguon!E64</x:f>
        <x:v>0.1462841805066264</x:v>
      </x:c>
      <x:c r="F63" s="13" t="n">
        <x:f>(E63-D63)*100</x:f>
        <x:v>0.7001994138499945</x:v>
      </x:c>
      <x:c r="G63" s="12" t="n">
        <x:f>Nguon!H64/Nguon!D64</x:f>
        <x:v>0.008561080013170892</x:v>
      </x:c>
      <x:c r="H63" s="12" t="n">
        <x:f>Nguon!I64/Nguon!E64</x:f>
        <x:v>0.01023318235195437</x:v>
      </x:c>
      <x:c r="I63" s="13" t="n">
        <x:f>(H63-G63)*100</x:f>
        <x:v>0.16721023387834788</x:v>
      </x:c>
      <x:c r="J63" s="11" t="n">
        <x:f>Nguon!G64-Nguon!I64</x:f>
        <x:v>2433</x:v>
      </x:c>
      <x:c r="K63" s="12" t="n">
        <x:f>Nguon!N64/Nguon!K64</x:f>
        <x:v>0.030716414340608168</x:v>
      </x:c>
      <x:c r="L63" s="12" t="n">
        <x:f>Nguon!O64/Nguon!K64</x:f>
        <x:v>0.005920693152748971</x:v>
      </x:c>
      <x:c r="M63" s="2"/>
      <x:c r="N63" s="2"/>
      <x:c r="O63" s="2"/>
      <x:c r="P63" s="2"/>
      <x:c r="Q63" s="2"/>
      <x:c r="R63" s="2"/>
      <x:c r="S63" s="2"/>
      <x:c r="T63" s="2"/>
      <x:c r="U63" s="2"/>
    </x:row>
    <x:row r="64" ht="26" customHeight="1">
      <x:c r="A64" s="2" t="str">
        <x:v>E06000031</x:v>
      </x:c>
      <x:c r="B64" s="2" t="str">
        <x:v>Trung học</x:v>
      </x:c>
      <x:c r="C64" s="2" t="str">
        <x:v>Peterborough</x:v>
      </x:c>
      <x:c r="D64" s="12" t="n">
        <x:f>Nguon!F65/Nguon!D65</x:f>
        <x:v>0.20698622850050238</x:v>
      </x:c>
      <x:c r="E64" s="12" t="n">
        <x:f>Nguon!G65/Nguon!E65</x:f>
        <x:v>0.21106593600848506</x:v>
      </x:c>
      <x:c r="F64" s="13" t="n">
        <x:f>(E64-D64)*100</x:f>
        <x:v>0.40797075079826717</x:v>
      </x:c>
      <x:c r="G64" s="12" t="n">
        <x:f>Nguon!H65/Nguon!D65</x:f>
        <x:v>0.027956735031621254</x:v>
      </x:c>
      <x:c r="H64" s="12" t="n">
        <x:f>Nguon!I65/Nguon!E65</x:f>
        <x:v>0.027222909669436097</x:v>
      </x:c>
      <x:c r="I64" s="13" t="n">
        <x:f>(H64-G64)*100</x:f>
        <x:v>-0.07338253621851573</x:v>
      </x:c>
      <x:c r="J64" s="11" t="n">
        <x:f>Nguon!G65-Nguon!I65</x:f>
        <x:v>3120</x:v>
      </x:c>
      <x:c r="K64" s="12" t="n">
        <x:f>Nguon!N65/Nguon!K65</x:f>
        <x:v>0.0395297444290891</x:v>
      </x:c>
      <x:c r="L64" s="12" t="n">
        <x:f>Nguon!O65/Nguon!K65</x:f>
        <x:v>0.01778827885017503</x:v>
      </x:c>
      <x:c r="M64" s="2"/>
      <x:c r="N64" s="2"/>
      <x:c r="O64" s="2"/>
      <x:c r="P64" s="2"/>
      <x:c r="Q64" s="2"/>
      <x:c r="R64" s="2"/>
      <x:c r="S64" s="2"/>
      <x:c r="T64" s="2"/>
      <x:c r="U64" s="2"/>
    </x:row>
    <x:row r="65" ht="26" customHeight="1">
      <x:c r="A65" s="2" t="str">
        <x:v>E06000032</x:v>
      </x:c>
      <x:c r="B65" s="2" t="str">
        <x:v>Tiểu học</x:v>
      </x:c>
      <x:c r="C65" s="2" t="str">
        <x:v>Luton</x:v>
      </x:c>
      <x:c r="D65" s="12" t="n">
        <x:f>Nguon!F66/Nguon!D66</x:f>
        <x:v>0.12992592592592592</x:v>
      </x:c>
      <x:c r="E65" s="12" t="n">
        <x:f>Nguon!G66/Nguon!E66</x:f>
        <x:v>0.1282616496642231</x:v>
      </x:c>
      <x:c r="F65" s="13" t="n">
        <x:f>(E65-D65)*100</x:f>
        <x:v>-0.16642762617028184</x:v>
      </x:c>
      <x:c r="G65" s="12" t="n">
        <x:f>Nguon!H66/Nguon!D66</x:f>
        <x:v>0.009580246913580247</x:v>
      </x:c>
      <x:c r="H65" s="12" t="n">
        <x:f>Nguon!I66/Nguon!E66</x:f>
        <x:v>0.010303993438252935</x:v>
      </x:c>
      <x:c r="I65" s="13" t="n">
        <x:f>(H65-G65)*100</x:f>
        <x:v>0.0723746524672688</x:v>
      </x:c>
      <x:c r="J65" s="11" t="n">
        <x:f>Nguon!G66-Nguon!I66</x:f>
        <x:v>2301</x:v>
      </x:c>
      <x:c r="K65" s="12" t="n">
        <x:f>Nguon!N66/Nguon!K66</x:f>
        <x:v>0.0283373349405935</x:v>
      </x:c>
      <x:c r="L65" s="12" t="n">
        <x:f>Nguon!O66/Nguon!K66</x:f>
        <x:v>0.004650466866434548</x:v>
      </x:c>
      <x:c r="M65" s="2"/>
      <x:c r="N65" s="2"/>
      <x:c r="O65" s="2"/>
      <x:c r="P65" s="2"/>
      <x:c r="Q65" s="2"/>
      <x:c r="R65" s="2"/>
      <x:c r="S65" s="2"/>
      <x:c r="T65" s="2"/>
      <x:c r="U65" s="2"/>
    </x:row>
    <x:row r="66" ht="26" customHeight="1">
      <x:c r="A66" s="2" t="str">
        <x:v>E06000032</x:v>
      </x:c>
      <x:c r="B66" s="2" t="str">
        <x:v>Trung học</x:v>
      </x:c>
      <x:c r="C66" s="2" t="str">
        <x:v>Luton</x:v>
      </x:c>
      <x:c r="D66" s="12" t="n">
        <x:f>Nguon!F67/Nguon!D67</x:f>
        <x:v>0.1669254176240452</x:v>
      </x:c>
      <x:c r="E66" s="12" t="n">
        <x:f>Nguon!G67/Nguon!E67</x:f>
        <x:v>0.18417419678714858</x:v>
      </x:c>
      <x:c r="F66" s="13" t="n">
        <x:f>(E66-D66)*100</x:f>
        <x:v>1.7248779163103385</x:v>
      </x:c>
      <x:c r="G66" s="12" t="n">
        <x:f>Nguon!H67/Nguon!D67</x:f>
        <x:v>0.017077563186983793</x:v>
      </x:c>
      <x:c r="H66" s="12" t="n">
        <x:f>Nguon!I67/Nguon!E67</x:f>
        <x:v>0.019076305220883535</x:v>
      </x:c>
      <x:c r="I66" s="13" t="n">
        <x:f>(H66-G66)*100</x:f>
        <x:v>0.1998742033899742</x:v>
      </x:c>
      <x:c r="J66" s="11" t="n">
        <x:f>Nguon!G67-Nguon!I67</x:f>
        <x:v>2631</x:v>
      </x:c>
      <x:c r="K66" s="12" t="n">
        <x:f>Nguon!N67/Nguon!K67</x:f>
        <x:v>0.032620034858602175</x:v>
      </x:c>
      <x:c r="L66" s="12" t="n">
        <x:f>Nguon!O67/Nguon!K67</x:f>
        <x:v>0.01458758702122949</x:v>
      </x:c>
      <x:c r="M66" s="2"/>
      <x:c r="N66" s="2"/>
      <x:c r="O66" s="2"/>
      <x:c r="P66" s="2"/>
      <x:c r="Q66" s="2"/>
      <x:c r="R66" s="2"/>
      <x:c r="S66" s="2"/>
      <x:c r="T66" s="2"/>
      <x:c r="U66" s="2"/>
    </x:row>
    <x:row r="67" ht="26" customHeight="1">
      <x:c r="A67" s="2" t="str">
        <x:v>E06000033</x:v>
      </x:c>
      <x:c r="B67" s="2" t="str">
        <x:v>Tiểu học</x:v>
      </x:c>
      <x:c r="C67" s="2" t="str">
        <x:v>Southend-on-Sea</x:v>
      </x:c>
      <x:c r="D67" s="12" t="n">
        <x:f>Nguon!F68/Nguon!D68</x:f>
        <x:v>0.15704230681904185</x:v>
      </x:c>
      <x:c r="E67" s="12" t="n">
        <x:f>Nguon!G68/Nguon!E68</x:f>
        <x:v>0.15149872201998296</x:v>
      </x:c>
      <x:c r="F67" s="13" t="n">
        <x:f>(E67-D67)*100</x:f>
        <x:v>-0.5543584799058893</x:v>
      </x:c>
      <x:c r="G67" s="12" t="n">
        <x:f>Nguon!H68/Nguon!D68</x:f>
        <x:v>0.009081964731703624</x:v>
      </x:c>
      <x:c r="H67" s="12" t="n">
        <x:f>Nguon!I68/Nguon!E68</x:f>
        <x:v>0.011308186817442492</x:v>
      </x:c>
      <x:c r="I67" s="13" t="n">
        <x:f>(H67-G67)*100</x:f>
        <x:v>0.22262220857388673</x:v>
      </x:c>
      <x:c r="J67" s="11" t="n">
        <x:f>Nguon!G68-Nguon!I68</x:f>
        <x:v>1810</x:v>
      </x:c>
      <x:c r="K67" s="12" t="n">
        <x:f>Nguon!N68/Nguon!K68</x:f>
        <x:v>0.030801312636307025</x:v>
      </x:c>
      <x:c r="L67" s="12" t="n">
        <x:f>Nguon!O68/Nguon!K68</x:f>
        <x:v>0.007091971291744415</x:v>
      </x:c>
      <x:c r="M67" s="2"/>
      <x:c r="N67" s="2"/>
      <x:c r="O67" s="2"/>
      <x:c r="P67" s="2"/>
      <x:c r="Q67" s="2"/>
      <x:c r="R67" s="2"/>
      <x:c r="S67" s="2"/>
      <x:c r="T67" s="2"/>
      <x:c r="U67" s="2"/>
    </x:row>
    <x:row r="68" ht="26" customHeight="1">
      <x:c r="A68" s="2" t="str">
        <x:v>E06000033</x:v>
      </x:c>
      <x:c r="B68" s="2" t="str">
        <x:v>Trung học</x:v>
      </x:c>
      <x:c r="C68" s="2" t="str">
        <x:v>Southend-on-Sea</x:v>
      </x:c>
      <x:c r="D68" s="12" t="n">
        <x:f>Nguon!F69/Nguon!D69</x:f>
        <x:v>0.17359297079078603</x:v>
      </x:c>
      <x:c r="E68" s="12" t="n">
        <x:f>Nguon!G69/Nguon!E69</x:f>
        <x:v>0.18484753222257153</x:v>
      </x:c>
      <x:c r="F68" s="13" t="n">
        <x:f>(E68-D68)*100</x:f>
        <x:v>1.1254561431785493</x:v>
      </x:c>
      <x:c r="G68" s="12" t="n">
        <x:f>Nguon!H69/Nguon!D69</x:f>
        <x:v>0.024222274994063167</x:v>
      </x:c>
      <x:c r="H68" s="12" t="n">
        <x:f>Nguon!I69/Nguon!E69</x:f>
        <x:v>0.027664256523105942</x:v>
      </x:c>
      <x:c r="I68" s="13" t="n">
        <x:f>(H68-G68)*100</x:f>
        <x:v>0.3441981529042775</x:v>
      </x:c>
      <x:c r="J68" s="11" t="n">
        <x:f>Nguon!G69-Nguon!I69</x:f>
        <x:v>2000</x:v>
      </x:c>
      <x:c r="K68" s="12" t="n">
        <x:f>Nguon!N69/Nguon!K69</x:f>
        <x:v>0.037110201940910865</x:v>
      </x:c>
      <x:c r="L68" s="12" t="n">
        <x:f>Nguon!O69/Nguon!K69</x:f>
        <x:v>0.016960009796395552</x:v>
      </x:c>
      <x:c r="M68" s="2"/>
      <x:c r="N68" s="2"/>
      <x:c r="O68" s="2"/>
      <x:c r="P68" s="2"/>
      <x:c r="Q68" s="2"/>
      <x:c r="R68" s="2"/>
      <x:c r="S68" s="2"/>
      <x:c r="T68" s="2"/>
      <x:c r="U68" s="2"/>
    </x:row>
    <x:row r="69" ht="26" customHeight="1">
      <x:c r="A69" s="2" t="str">
        <x:v>E06000034</x:v>
      </x:c>
      <x:c r="B69" s="2" t="str">
        <x:v>Tiểu học</x:v>
      </x:c>
      <x:c r="C69" s="2" t="str">
        <x:v>Thurrock</x:v>
      </x:c>
      <x:c r="D69" s="12" t="n">
        <x:f>Nguon!F70/Nguon!D70</x:f>
        <x:v>0.15150736003085427</x:v>
      </x:c>
      <x:c r="E69" s="12" t="n">
        <x:f>Nguon!G70/Nguon!E70</x:f>
        <x:v>0.14575873966538636</x:v>
      </x:c>
      <x:c r="F69" s="13" t="n">
        <x:f>(E69-D69)*100</x:f>
        <x:v>-0.5748620365467916</x:v>
      </x:c>
      <x:c r="G69" s="12" t="n">
        <x:f>Nguon!H70/Nguon!D70</x:f>
        <x:v>0.010477598508709905</x:v>
      </x:c>
      <x:c r="H69" s="12" t="n">
        <x:f>Nguon!I70/Nguon!E70</x:f>
        <x:v>0.0116528871818241</x:v>
      </x:c>
      <x:c r="I69" s="13" t="n">
        <x:f>(H69-G69)*100</x:f>
        <x:v>0.11752886731141945</x:v>
      </x:c>
      <x:c r="J69" s="11" t="n">
        <x:f>Nguon!G70-Nguon!I70</x:f>
        <x:v>2060</x:v>
      </x:c>
      <x:c r="K69" s="12" t="n">
        <x:f>Nguon!N70/Nguon!K70</x:f>
        <x:v>0.026839939697157877</x:v>
      </x:c>
      <x:c r="L69" s="12" t="n">
        <x:f>Nguon!O70/Nguon!K70</x:f>
        <x:v>0.00918846981538113</x:v>
      </x:c>
      <x:c r="M69" s="2"/>
      <x:c r="N69" s="2"/>
      <x:c r="O69" s="2"/>
      <x:c r="P69" s="2"/>
      <x:c r="Q69" s="2"/>
      <x:c r="R69" s="2"/>
      <x:c r="S69" s="2"/>
      <x:c r="T69" s="2"/>
      <x:c r="U69" s="2"/>
    </x:row>
    <x:row r="70" ht="26" customHeight="1">
      <x:c r="A70" s="2" t="str">
        <x:v>E06000034</x:v>
      </x:c>
      <x:c r="B70" s="2" t="str">
        <x:v>Trung học</x:v>
      </x:c>
      <x:c r="C70" s="2" t="str">
        <x:v>Thurrock</x:v>
      </x:c>
      <x:c r="D70" s="12" t="n">
        <x:f>Nguon!F71/Nguon!D71</x:f>
        <x:v>0.2025817555938038</x:v>
      </x:c>
      <x:c r="E70" s="12" t="n">
        <x:f>Nguon!G71/Nguon!E71</x:f>
        <x:v>0.18765388673935984</x:v>
      </x:c>
      <x:c r="F70" s="13" t="n">
        <x:f>(E70-D70)*100</x:f>
        <x:v>-1.4927868854443944</x:v>
      </x:c>
      <x:c r="G70" s="12" t="n">
        <x:f>Nguon!H71/Nguon!D71</x:f>
        <x:v>0.026075731497418243</x:v>
      </x:c>
      <x:c r="H70" s="12" t="n">
        <x:f>Nguon!I71/Nguon!E71</x:f>
        <x:v>0.026644389729159338</x:v>
      </x:c>
      <x:c r="I70" s="13" t="n">
        <x:f>(H70-G70)*100</x:f>
        <x:v>0.05686582317410947</x:v>
      </x:c>
      <x:c r="J70" s="11" t="n">
        <x:f>Nguon!G71-Nguon!I71</x:f>
        <x:v>1831</x:v>
      </x:c>
      <x:c r="K70" s="12" t="n">
        <x:f>Nguon!N71/Nguon!K71</x:f>
        <x:v>0.02685359606909062</x:v>
      </x:c>
      <x:c r="L70" s="12" t="n">
        <x:f>Nguon!O71/Nguon!K71</x:f>
        <x:v>0.02242509629181569</x:v>
      </x:c>
      <x:c r="M70" s="2"/>
      <x:c r="N70" s="2"/>
      <x:c r="O70" s="2"/>
      <x:c r="P70" s="2"/>
      <x:c r="Q70" s="2"/>
      <x:c r="R70" s="2"/>
      <x:c r="S70" s="2"/>
      <x:c r="T70" s="2"/>
      <x:c r="U70" s="2"/>
    </x:row>
    <x:row r="71" ht="26" customHeight="1">
      <x:c r="A71" s="2" t="str">
        <x:v>E06000035</x:v>
      </x:c>
      <x:c r="B71" s="2" t="str">
        <x:v>Tiểu học</x:v>
      </x:c>
      <x:c r="C71" s="2" t="str">
        <x:v>Medway</x:v>
      </x:c>
      <x:c r="D71" s="12" t="n">
        <x:f>Nguon!F72/Nguon!D72</x:f>
        <x:v>0.15369041855552132</x:v>
      </x:c>
      <x:c r="E71" s="12" t="n">
        <x:f>Nguon!G72/Nguon!E72</x:f>
        <x:v>0.16682299343427576</x:v>
      </x:c>
      <x:c r="F71" s="13" t="n">
        <x:f>(E71-D71)*100</x:f>
        <x:v>1.3132574878754437</x:v>
      </x:c>
      <x:c r="G71" s="12" t="n">
        <x:f>Nguon!H72/Nguon!D72</x:f>
        <x:v>0.012235376964042076</x:v>
      </x:c>
      <x:c r="H71" s="12" t="n">
        <x:f>Nguon!I72/Nguon!E72</x:f>
        <x:v>0.014962704899727544</x:v>
      </x:c>
      <x:c r="I71" s="13" t="n">
        <x:f>(H71-G71)*100</x:f>
        <x:v>0.27273279356854685</x:v>
      </x:c>
      <x:c r="J71" s="11" t="n">
        <x:f>Nguon!G72-Nguon!I72</x:f>
        <x:v>3400</x:v>
      </x:c>
      <x:c r="K71" s="12" t="n">
        <x:f>Nguon!N72/Nguon!K72</x:f>
        <x:v>0.031143192618782074</x:v>
      </x:c>
      <x:c r="L71" s="12" t="n">
        <x:f>Nguon!O72/Nguon!K72</x:f>
        <x:v>0.008441237747302526</x:v>
      </x:c>
      <x:c r="M71" s="2"/>
      <x:c r="N71" s="2"/>
      <x:c r="O71" s="2"/>
      <x:c r="P71" s="2"/>
      <x:c r="Q71" s="2"/>
      <x:c r="R71" s="2"/>
      <x:c r="S71" s="2"/>
      <x:c r="T71" s="2"/>
      <x:c r="U71" s="2"/>
    </x:row>
    <x:row r="72" ht="26" customHeight="1">
      <x:c r="A72" s="2" t="str">
        <x:v>E06000035</x:v>
      </x:c>
      <x:c r="B72" s="2" t="str">
        <x:v>Trung học</x:v>
      </x:c>
      <x:c r="C72" s="2" t="str">
        <x:v>Medway</x:v>
      </x:c>
      <x:c r="D72" s="12" t="n">
        <x:f>Nguon!F73/Nguon!D73</x:f>
        <x:v>0.20751269035532996</x:v>
      </x:c>
      <x:c r="E72" s="12" t="n">
        <x:f>Nguon!G73/Nguon!E73</x:f>
        <x:v>0.21437210239870994</x:v>
      </x:c>
      <x:c r="F72" s="13" t="n">
        <x:f>(E72-D72)*100</x:f>
        <x:v>0.6859412043379975</x:v>
      </x:c>
      <x:c r="G72" s="12" t="n">
        <x:f>Nguon!H73/Nguon!D73</x:f>
        <x:v>0.027461928934010154</x:v>
      </x:c>
      <x:c r="H72" s="12" t="n">
        <x:f>Nguon!I73/Nguon!E73</x:f>
        <x:v>0.027615400120943358</x:v>
      </x:c>
      <x:c r="I72" s="13" t="n">
        <x:f>(H72-G72)*100</x:f>
        <x:v>0.01534711869332038</x:v>
      </x:c>
      <x:c r="J72" s="11" t="n">
        <x:f>Nguon!G73-Nguon!I73</x:f>
        <x:v>3706</x:v>
      </x:c>
      <x:c r="K72" s="12" t="n">
        <x:f>Nguon!N73/Nguon!K73</x:f>
        <x:v>0.036426926057849925</x:v>
      </x:c>
      <x:c r="L72" s="12" t="n">
        <x:f>Nguon!O73/Nguon!K73</x:f>
        <x:v>0.020193501769400424</x:v>
      </x:c>
      <x:c r="M72" s="2"/>
      <x:c r="N72" s="2"/>
      <x:c r="O72" s="2"/>
      <x:c r="P72" s="2"/>
      <x:c r="Q72" s="2"/>
      <x:c r="R72" s="2"/>
      <x:c r="S72" s="2"/>
      <x:c r="T72" s="2"/>
      <x:c r="U72" s="2"/>
    </x:row>
    <x:row r="73" ht="26" customHeight="1">
      <x:c r="A73" s="2" t="str">
        <x:v>E06000036</x:v>
      </x:c>
      <x:c r="B73" s="2" t="str">
        <x:v>Tiểu học</x:v>
      </x:c>
      <x:c r="C73" s="2" t="str">
        <x:v>Bracknell Forest</x:v>
      </x:c>
      <x:c r="D73" s="12" t="n">
        <x:f>Nguon!F74/Nguon!D74</x:f>
        <x:v>0.10757396449704142</x:v>
      </x:c>
      <x:c r="E73" s="12" t="n">
        <x:f>Nguon!G74/Nguon!E74</x:f>
        <x:v>0.10024038461538462</x:v>
      </x:c>
      <x:c r="F73" s="13" t="n">
        <x:f>(E73-D73)*100</x:f>
        <x:v>-0.7333579881656795</x:v>
      </x:c>
      <x:c r="G73" s="12" t="n">
        <x:f>Nguon!H74/Nguon!D74</x:f>
        <x:v>0.004970414201183432</x:v>
      </x:c>
      <x:c r="H73" s="12" t="n">
        <x:f>Nguon!I74/Nguon!E74</x:f>
        <x:v>0.005048076923076923</x:v>
      </x:c>
      <x:c r="I73" s="13" t="n">
        <x:f>(H73-G73)*100</x:f>
        <x:v>0.007766272189349121</x:v>
      </x:c>
      <x:c r="J73" s="11" t="n">
        <x:f>Nguon!G74-Nguon!I74</x:f>
        <x:v>792</x:v>
      </x:c>
      <x:c r="K73" s="12" t="n">
        <x:f>Nguon!N74/Nguon!K74</x:f>
        <x:v>0.025632335240876165</x:v>
      </x:c>
      <x:c r="L73" s="12" t="n">
        <x:f>Nguon!O74/Nguon!K74</x:f>
        <x:v>0.0033397207774431975</x:v>
      </x:c>
      <x:c r="M73" s="2"/>
      <x:c r="N73" s="2"/>
      <x:c r="O73" s="2"/>
      <x:c r="P73" s="2"/>
      <x:c r="Q73" s="2"/>
      <x:c r="R73" s="2"/>
      <x:c r="S73" s="2"/>
      <x:c r="T73" s="2"/>
      <x:c r="U73" s="2"/>
    </x:row>
    <x:row r="74" ht="26" customHeight="1">
      <x:c r="A74" s="2" t="str">
        <x:v>E06000036</x:v>
      </x:c>
      <x:c r="B74" s="2" t="str">
        <x:v>Trung học</x:v>
      </x:c>
      <x:c r="C74" s="2" t="str">
        <x:v>Bracknell Forest</x:v>
      </x:c>
      <x:c r="D74" s="12" t="n">
        <x:f>Nguon!F75/Nguon!D75</x:f>
        <x:v>0.18109924871490707</x:v>
      </x:c>
      <x:c r="E74" s="12" t="n">
        <x:f>Nguon!G75/Nguon!E75</x:f>
        <x:v>0.17950754567116758</x:v>
      </x:c>
      <x:c r="F74" s="13" t="n">
        <x:f>(E74-D74)*100</x:f>
        <x:v>-0.1591703043739484</x:v>
      </x:c>
      <x:c r="G74" s="12" t="n">
        <x:f>Nguon!H75/Nguon!D75</x:f>
        <x:v>0.02833794648741268</x:v>
      </x:c>
      <x:c r="H74" s="12" t="n">
        <x:f>Nguon!I75/Nguon!E75</x:f>
        <x:v>0.024093195657929573</x:v>
      </x:c>
      <x:c r="I74" s="13" t="n">
        <x:f>(H74-G74)*100</x:f>
        <x:v>-0.4244750829483106</x:v>
      </x:c>
      <x:c r="J74" s="11" t="n">
        <x:f>Nguon!G75-Nguon!I75</x:f>
        <x:v>1174</x:v>
      </x:c>
      <x:c r="K74" s="12" t="n">
        <x:f>Nguon!N75/Nguon!K75</x:f>
        <x:v>0.03814790071828568</x:v>
      </x:c>
      <x:c r="L74" s="12" t="n">
        <x:f>Nguon!O75/Nguon!K75</x:f>
        <x:v>0.012753884729175161</x:v>
      </x:c>
      <x:c r="M74" s="2"/>
      <x:c r="N74" s="2"/>
      <x:c r="O74" s="2"/>
      <x:c r="P74" s="2"/>
      <x:c r="Q74" s="2"/>
      <x:c r="R74" s="2"/>
      <x:c r="S74" s="2"/>
      <x:c r="T74" s="2"/>
      <x:c r="U74" s="2"/>
    </x:row>
    <x:row r="75" ht="26" customHeight="1">
      <x:c r="A75" s="2" t="str">
        <x:v>E06000037</x:v>
      </x:c>
      <x:c r="B75" s="2" t="str">
        <x:v>Tiểu học</x:v>
      </x:c>
      <x:c r="C75" s="2" t="str">
        <x:v>West Berkshire</x:v>
      </x:c>
      <x:c r="D75" s="12" t="n">
        <x:f>Nguon!F76/Nguon!D76</x:f>
        <x:v>0.1259306921592058</x:v>
      </x:c>
      <x:c r="E75" s="12" t="n">
        <x:f>Nguon!G76/Nguon!E76</x:f>
        <x:v>0.12181412927609264</x:v>
      </x:c>
      <x:c r="F75" s="13" t="n">
        <x:f>(E75-D75)*100</x:f>
        <x:v>-0.4116562883113156</x:v>
      </x:c>
      <x:c r="G75" s="12" t="n">
        <x:f>Nguon!H76/Nguon!D76</x:f>
        <x:v>0.007629377700156264</x:v>
      </x:c>
      <x:c r="H75" s="12" t="n">
        <x:f>Nguon!I76/Nguon!E76</x:f>
        <x:v>0.008043415059598798</x:v>
      </x:c>
      <x:c r="I75" s="13" t="n">
        <x:f>(H75-G75)*100</x:f>
        <x:v>0.04140373594425338</x:v>
      </x:c>
      <x:c r="J75" s="11" t="n">
        <x:f>Nguon!G76-Nguon!I76</x:f>
        <x:v>1174</x:v>
      </x:c>
      <x:c r="K75" s="12" t="n">
        <x:f>Nguon!N76/Nguon!K76</x:f>
        <x:v>0.02838645874348714</x:v>
      </x:c>
      <x:c r="L75" s="12" t="n">
        <x:f>Nguon!O76/Nguon!K76</x:f>
        <x:v>0.003621914909652875</x:v>
      </x:c>
      <x:c r="M75" s="2"/>
      <x:c r="N75" s="2"/>
      <x:c r="O75" s="2"/>
      <x:c r="P75" s="2"/>
      <x:c r="Q75" s="2"/>
      <x:c r="R75" s="2"/>
      <x:c r="S75" s="2"/>
      <x:c r="T75" s="2"/>
      <x:c r="U75" s="2"/>
    </x:row>
    <x:row r="76" ht="26" customHeight="1">
      <x:c r="A76" s="2" t="str">
        <x:v>E06000037</x:v>
      </x:c>
      <x:c r="B76" s="2" t="str">
        <x:v>Trung học</x:v>
      </x:c>
      <x:c r="C76" s="2" t="str">
        <x:v>West Berkshire</x:v>
      </x:c>
      <x:c r="D76" s="12" t="n">
        <x:f>Nguon!F77/Nguon!D77</x:f>
        <x:v>0.1997716894977169</x:v>
      </x:c>
      <x:c r="E76" s="12" t="n">
        <x:f>Nguon!G77/Nguon!E77</x:f>
        <x:v>0.2083373171431303</x:v>
      </x:c>
      <x:c r="F76" s="13" t="n">
        <x:f>(E76-D76)*100</x:f>
        <x:v>0.856562764541341</x:v>
      </x:c>
      <x:c r="G76" s="12" t="n">
        <x:f>Nguon!H77/Nguon!D77</x:f>
        <x:v>0.03262937595129376</x:v>
      </x:c>
      <x:c r="H76" s="12" t="n">
        <x:f>Nguon!I77/Nguon!E77</x:f>
        <x:v>0.03633234534850368</x:v>
      </x:c>
      <x:c r="I76" s="13" t="n">
        <x:f>(H76-G76)*100</x:f>
        <x:v>0.3702969397209918</x:v>
      </x:c>
      <x:c r="J76" s="11" t="n">
        <x:f>Nguon!G77-Nguon!I77</x:f>
        <x:v>1799</x:v>
      </x:c>
      <x:c r="K76" s="12" t="n">
        <x:f>Nguon!N77/Nguon!K77</x:f>
        <x:v>0.040397915932128305</x:v>
      </x:c>
      <x:c r="L76" s="12" t="n">
        <x:f>Nguon!O77/Nguon!K77</x:f>
        <x:v>0.016373517225523312</x:v>
      </x:c>
      <x:c r="M76" s="2"/>
      <x:c r="N76" s="2"/>
      <x:c r="O76" s="2"/>
      <x:c r="P76" s="2"/>
      <x:c r="Q76" s="2"/>
      <x:c r="R76" s="2"/>
      <x:c r="S76" s="2"/>
      <x:c r="T76" s="2"/>
      <x:c r="U76" s="2"/>
    </x:row>
    <x:row r="77" ht="26" customHeight="1">
      <x:c r="A77" s="2" t="str">
        <x:v>E06000038</x:v>
      </x:c>
      <x:c r="B77" s="2" t="str">
        <x:v>Tiểu học</x:v>
      </x:c>
      <x:c r="C77" s="2" t="str">
        <x:v>Reading</x:v>
      </x:c>
      <x:c r="D77" s="12" t="n">
        <x:f>Nguon!F78/Nguon!D78</x:f>
        <x:v>0.16089423321195698</x:v>
      </x:c>
      <x:c r="E77" s="12" t="n">
        <x:f>Nguon!G78/Nguon!E78</x:f>
        <x:v>0.14504954836446549</x:v>
      </x:c>
      <x:c r="F77" s="13" t="n">
        <x:f>(E77-D77)*100</x:f>
        <x:v>-1.584468484749149</x:v>
      </x:c>
      <x:c r="G77" s="12" t="n">
        <x:f>Nguon!H78/Nguon!D78</x:f>
        <x:v>0.012617495130832415</x:v>
      </x:c>
      <x:c r="H77" s="12" t="n">
        <x:f>Nguon!I78/Nguon!E78</x:f>
        <x:v>0.012628255722178374</x:v>
      </x:c>
      <x:c r="I77" s="13" t="n">
        <x:f>(H77-G77)*100</x:f>
        <x:v>0.0010760591345958595</x:v>
      </x:c>
      <x:c r="J77" s="11" t="n">
        <x:f>Nguon!G78-Nguon!I78</x:f>
        <x:v>1510</x:v>
      </x:c>
      <x:c r="K77" s="12" t="n">
        <x:f>Nguon!N78/Nguon!K78</x:f>
        <x:v>0.027603551873768273</x:v>
      </x:c>
      <x:c r="L77" s="12" t="n">
        <x:f>Nguon!O78/Nguon!K78</x:f>
        <x:v>0.008421531515843544</x:v>
      </x:c>
      <x:c r="M77" s="2"/>
      <x:c r="N77" s="2"/>
      <x:c r="O77" s="2"/>
      <x:c r="P77" s="2"/>
      <x:c r="Q77" s="2"/>
      <x:c r="R77" s="2"/>
      <x:c r="S77" s="2"/>
      <x:c r="T77" s="2"/>
      <x:c r="U77" s="2"/>
    </x:row>
    <x:row r="78" ht="26" customHeight="1">
      <x:c r="A78" s="2" t="str">
        <x:v>E06000038</x:v>
      </x:c>
      <x:c r="B78" s="2" t="str">
        <x:v>Trung học</x:v>
      </x:c>
      <x:c r="C78" s="2" t="str">
        <x:v>Reading</x:v>
      </x:c>
      <x:c r="D78" s="12" t="n">
        <x:f>Nguon!F79/Nguon!D79</x:f>
        <x:v>0.1793392763502884</x:v>
      </x:c>
      <x:c r="E78" s="12" t="n">
        <x:f>Nguon!G79/Nguon!E79</x:f>
        <x:v>0.19936785801118406</x:v>
      </x:c>
      <x:c r="F78" s="13" t="n">
        <x:f>(E78-D78)*100</x:f>
        <x:v>2.002858166089566</x:v>
      </x:c>
      <x:c r="G78" s="12" t="n">
        <x:f>Nguon!H79/Nguon!D79</x:f>
        <x:v>0.023859465128474044</x:v>
      </x:c>
      <x:c r="H78" s="12" t="n">
        <x:f>Nguon!I79/Nguon!E79</x:f>
        <x:v>0.029175784099197667</x:v>
      </x:c>
      <x:c r="I78" s="13" t="n">
        <x:f>(H78-G78)*100</x:f>
        <x:v>0.5316318970723624</x:v>
      </x:c>
      <x:c r="J78" s="11" t="n">
        <x:f>Nguon!G79-Nguon!I79</x:f>
        <x:v>1400</x:v>
      </x:c>
      <x:c r="K78" s="12" t="n">
        <x:f>Nguon!N79/Nguon!K79</x:f>
        <x:v>0.03509378668875197</x:v>
      </x:c>
      <x:c r="L78" s="12" t="n">
        <x:f>Nguon!O79/Nguon!K79</x:f>
        <x:v>0.021005305932997806</x:v>
      </x:c>
      <x:c r="M78" s="2"/>
      <x:c r="N78" s="2"/>
      <x:c r="O78" s="2"/>
      <x:c r="P78" s="2"/>
      <x:c r="Q78" s="2"/>
      <x:c r="R78" s="2"/>
      <x:c r="S78" s="2"/>
      <x:c r="T78" s="2"/>
      <x:c r="U78" s="2"/>
    </x:row>
    <x:row r="79" ht="26" customHeight="1">
      <x:c r="A79" s="2" t="str">
        <x:v>E06000039</x:v>
      </x:c>
      <x:c r="B79" s="2" t="str">
        <x:v>Tiểu học</x:v>
      </x:c>
      <x:c r="C79" s="2" t="str">
        <x:v>Slough</x:v>
      </x:c>
      <x:c r="D79" s="12" t="n">
        <x:f>Nguon!F80/Nguon!D80</x:f>
        <x:v>0.16152880457525456</x:v>
      </x:c>
      <x:c r="E79" s="12" t="n">
        <x:f>Nguon!G80/Nguon!E80</x:f>
        <x:v>0.17344269249805558</x:v>
      </x:c>
      <x:c r="F79" s="13" t="n">
        <x:f>(E79-D79)*100</x:f>
        <x:v>1.1913887922801014</x:v>
      </x:c>
      <x:c r="G79" s="12" t="n">
        <x:f>Nguon!H80/Nguon!D80</x:f>
        <x:v>0.010880178546519738</x:v>
      </x:c>
      <x:c r="H79" s="12" t="n">
        <x:f>Nguon!I80/Nguon!E80</x:f>
        <x:v>0.012868556883263806</x:v>
      </x:c>
      <x:c r="I79" s="13" t="n">
        <x:f>(H79-G79)*100</x:f>
        <x:v>0.19883783367440674</x:v>
      </x:c>
      <x:c r="J79" s="11" t="n">
        <x:f>Nguon!G80-Nguon!I80</x:f>
        <x:v>2271</x:v>
      </x:c>
      <x:c r="K79" s="12" t="n">
        <x:f>Nguon!N80/Nguon!K80</x:f>
        <x:v>0.03412011075543767</x:v>
      </x:c>
      <x:c r="L79" s="12" t="n">
        <x:f>Nguon!O80/Nguon!K80</x:f>
        <x:v>0.005968887636617086</x:v>
      </x:c>
      <x:c r="M79" s="2"/>
      <x:c r="N79" s="2"/>
      <x:c r="O79" s="2"/>
      <x:c r="P79" s="2"/>
      <x:c r="Q79" s="2"/>
      <x:c r="R79" s="2"/>
      <x:c r="S79" s="2"/>
      <x:c r="T79" s="2"/>
      <x:c r="U79" s="2"/>
    </x:row>
    <x:row r="80" ht="26" customHeight="1">
      <x:c r="A80" s="2" t="str">
        <x:v>E06000039</x:v>
      </x:c>
      <x:c r="B80" s="2" t="str">
        <x:v>Trung học</x:v>
      </x:c>
      <x:c r="C80" s="2" t="str">
        <x:v>Slough</x:v>
      </x:c>
      <x:c r="D80" s="12" t="n">
        <x:f>Nguon!F81/Nguon!D81</x:f>
        <x:v>0.17711375720811803</x:v>
      </x:c>
      <x:c r="E80" s="12" t="n">
        <x:f>Nguon!G81/Nguon!E81</x:f>
        <x:v>0.18626195676734203</x:v>
      </x:c>
      <x:c r="F80" s="13" t="n">
        <x:f>(E80-D80)*100</x:f>
        <x:v>0.9148199559223996</x:v>
      </x:c>
      <x:c r="G80" s="12" t="n">
        <x:f>Nguon!H81/Nguon!D81</x:f>
        <x:v>0.021193739234628924</x:v>
      </x:c>
      <x:c r="H80" s="12" t="n">
        <x:f>Nguon!I81/Nguon!E81</x:f>
        <x:v>0.017323190479777057</x:v>
      </x:c>
      <x:c r="I80" s="13" t="n">
        <x:f>(H80-G80)*100</x:f>
        <x:v>-0.38705487548518663</x:v>
      </x:c>
      <x:c r="J80" s="11" t="n">
        <x:f>Nguon!G81-Nguon!I81</x:f>
        <x:v>2243</x:v>
      </x:c>
      <x:c r="K80" s="12" t="n">
        <x:f>Nguon!N81/Nguon!K81</x:f>
        <x:v>0.03617652477107091</x:v>
      </x:c>
      <x:c r="L80" s="12" t="n">
        <x:f>Nguon!O81/Nguon!K81</x:f>
        <x:v>0.012695005346920803</x:v>
      </x:c>
      <x:c r="M80" s="2"/>
      <x:c r="N80" s="2"/>
      <x:c r="O80" s="2"/>
      <x:c r="P80" s="2"/>
      <x:c r="Q80" s="2"/>
      <x:c r="R80" s="2"/>
      <x:c r="S80" s="2"/>
      <x:c r="T80" s="2"/>
      <x:c r="U80" s="2"/>
    </x:row>
    <x:row r="81" ht="26" customHeight="1">
      <x:c r="A81" s="2" t="str">
        <x:v>E06000040</x:v>
      </x:c>
      <x:c r="B81" s="2" t="str">
        <x:v>Tiểu học</x:v>
      </x:c>
      <x:c r="C81" s="2" t="str">
        <x:v>Windsor and Maidenhead</x:v>
      </x:c>
      <x:c r="D81" s="12" t="n">
        <x:f>Nguon!F82/Nguon!D82</x:f>
        <x:v>0.13628938156359394</x:v>
      </x:c>
      <x:c r="E81" s="12" t="n">
        <x:f>Nguon!G82/Nguon!E82</x:f>
        <x:v>0.11711604703646514</x:v>
      </x:c>
      <x:c r="F81" s="13" t="n">
        <x:f>(E81-D81)*100</x:f>
        <x:v>-1.9173334527128798</x:v>
      </x:c>
      <x:c r="G81" s="12" t="n">
        <x:f>Nguon!H82/Nguon!D82</x:f>
        <x:v>0.009101516919486581</x:v>
      </x:c>
      <x:c r="H81" s="12" t="n">
        <x:f>Nguon!I82/Nguon!E82</x:f>
        <x:v>0.007126737142178406</x:v>
      </x:c>
      <x:c r="I81" s="13" t="n">
        <x:f>(H81-G81)*100</x:f>
        <x:v>-0.19747797773081746</x:v>
      </x:c>
      <x:c r="J81" s="11" t="n">
        <x:f>Nguon!G82-Nguon!I82</x:f>
        <x:v>926</x:v>
      </x:c>
      <x:c r="K81" s="12" t="n">
        <x:f>Nguon!N82/Nguon!K82</x:f>
        <x:v>0.026897514929685996</x:v>
      </x:c>
      <x:c r="L81" s="12" t="n">
        <x:f>Nguon!O82/Nguon!K82</x:f>
        <x:v>0.003960322811459394</x:v>
      </x:c>
      <x:c r="M81" s="2"/>
      <x:c r="N81" s="2"/>
      <x:c r="O81" s="2"/>
      <x:c r="P81" s="2"/>
      <x:c r="Q81" s="2"/>
      <x:c r="R81" s="2"/>
      <x:c r="S81" s="2"/>
      <x:c r="T81" s="2"/>
      <x:c r="U81" s="2"/>
    </x:row>
    <x:row r="82" ht="26" customHeight="1">
      <x:c r="A82" s="2" t="str">
        <x:v>E06000040</x:v>
      </x:c>
      <x:c r="B82" s="2" t="str">
        <x:v>Trung học</x:v>
      </x:c>
      <x:c r="C82" s="2" t="str">
        <x:v>Windsor and Maidenhead</x:v>
      </x:c>
      <x:c r="D82" s="12" t="n">
        <x:f>Nguon!F83/Nguon!D83</x:f>
        <x:v>0.19388058223586493</x:v>
      </x:c>
      <x:c r="E82" s="12" t="n">
        <x:f>Nguon!G83/Nguon!E83</x:f>
        <x:v>0.2073403720462544</x:v>
      </x:c>
      <x:c r="F82" s="13" t="n">
        <x:f>(E82-D82)*100</x:f>
        <x:v>1.3459789810389478</x:v>
      </x:c>
      <x:c r="G82" s="12" t="n">
        <x:f>Nguon!H83/Nguon!D83</x:f>
        <x:v>0.026141202099217744</x:v>
      </x:c>
      <x:c r="H82" s="12" t="n">
        <x:f>Nguon!I83/Nguon!E83</x:f>
        <x:v>0.024937154348919056</x:v>
      </x:c>
      <x:c r="I82" s="13" t="n">
        <x:f>(H82-G82)*100</x:f>
        <x:v>-0.12040477502986875</x:v>
      </x:c>
      <x:c r="J82" s="11" t="n">
        <x:f>Nguon!G83-Nguon!I83</x:f>
        <x:v>1814</x:v>
      </x:c>
      <x:c r="K82" s="12" t="n">
        <x:f>Nguon!N83/Nguon!K83</x:f>
        <x:v>0.04458173442454968</x:v>
      </x:c>
      <x:c r="L82" s="12" t="n">
        <x:f>Nguon!O83/Nguon!K83</x:f>
        <x:v>0.014735603099181887</x:v>
      </x:c>
      <x:c r="M82" s="2"/>
      <x:c r="N82" s="2"/>
      <x:c r="O82" s="2"/>
      <x:c r="P82" s="2"/>
      <x:c r="Q82" s="2"/>
      <x:c r="R82" s="2"/>
      <x:c r="S82" s="2"/>
      <x:c r="T82" s="2"/>
      <x:c r="U82" s="2"/>
    </x:row>
    <x:row r="83" ht="26" customHeight="1">
      <x:c r="A83" s="2" t="str">
        <x:v>E06000041</x:v>
      </x:c>
      <x:c r="B83" s="2" t="str">
        <x:v>Tiểu học</x:v>
      </x:c>
      <x:c r="C83" s="2" t="str">
        <x:v>Wokingham</x:v>
      </x:c>
      <x:c r="D83" s="12" t="n">
        <x:f>Nguon!F84/Nguon!D84</x:f>
        <x:v>0.10946569429974698</x:v>
      </x:c>
      <x:c r="E83" s="12" t="n">
        <x:f>Nguon!G84/Nguon!E84</x:f>
        <x:v>0.10102311481621827</x:v>
      </x:c>
      <x:c r="F83" s="13" t="n">
        <x:f>(E83-D83)*100</x:f>
        <x:v>-0.8442579483528709</x:v>
      </x:c>
      <x:c r="G83" s="12" t="n">
        <x:f>Nguon!H84/Nguon!D84</x:f>
        <x:v>0.004688197648459592</x:v>
      </x:c>
      <x:c r="H83" s="12" t="n">
        <x:f>Nguon!I84/Nguon!E84</x:f>
        <x:v>0.007275483137552103</x:v>
      </x:c>
      <x:c r="I83" s="13" t="n">
        <x:f>(H83-G83)*100</x:f>
        <x:v>0.258728548909251</x:v>
      </x:c>
      <x:c r="J83" s="11" t="n">
        <x:f>Nguon!G84-Nguon!I84</x:f>
        <x:v>1237</x:v>
      </x:c>
      <x:c r="K83" s="12" t="n">
        <x:f>Nguon!N84/Nguon!K84</x:f>
        <x:v>0.025147748760724318</x:v>
      </x:c>
      <x:c r="L83" s="12" t="n">
        <x:f>Nguon!O84/Nguon!K84</x:f>
        <x:v>0.003126258329904939</x:v>
      </x:c>
      <x:c r="M83" s="2"/>
      <x:c r="N83" s="2"/>
      <x:c r="O83" s="2"/>
      <x:c r="P83" s="2"/>
      <x:c r="Q83" s="2"/>
      <x:c r="R83" s="2"/>
      <x:c r="S83" s="2"/>
      <x:c r="T83" s="2"/>
      <x:c r="U83" s="2"/>
    </x:row>
    <x:row r="84" ht="26" customHeight="1">
      <x:c r="A84" s="2" t="str">
        <x:v>E06000041</x:v>
      </x:c>
      <x:c r="B84" s="2" t="str">
        <x:v>Trung học</x:v>
      </x:c>
      <x:c r="C84" s="2" t="str">
        <x:v>Wokingham</x:v>
      </x:c>
      <x:c r="D84" s="12" t="n">
        <x:f>Nguon!F85/Nguon!D85</x:f>
        <x:v>0.16017052375152252</x:v>
      </x:c>
      <x:c r="E84" s="12" t="n">
        <x:f>Nguon!G85/Nguon!E85</x:f>
        <x:v>0.16319444444444445</x:v>
      </x:c>
      <x:c r="F84" s="13" t="n">
        <x:f>(E84-D84)*100</x:f>
        <x:v>0.30239206929219276</x:v>
      </x:c>
      <x:c r="G84" s="12" t="n">
        <x:f>Nguon!H85/Nguon!D85</x:f>
        <x:v>0.01861840960501131</x:v>
      </x:c>
      <x:c r="H84" s="12" t="n">
        <x:f>Nguon!I85/Nguon!E85</x:f>
        <x:v>0.02309027777777778</x:v>
      </x:c>
      <x:c r="I84" s="13" t="n">
        <x:f>(H84-G84)*100</x:f>
        <x:v>0.44718681727664683</x:v>
      </x:c>
      <x:c r="J84" s="11" t="n">
        <x:f>Nguon!G85-Nguon!I85</x:f>
        <x:v>1614</x:v>
      </x:c>
      <x:c r="K84" s="12" t="n">
        <x:f>Nguon!N85/Nguon!K85</x:f>
        <x:v>0.037245007796774095</x:v>
      </x:c>
      <x:c r="L84" s="12" t="n">
        <x:f>Nguon!O85/Nguon!K85</x:f>
        <x:v>0.010529637643246959</x:v>
      </x:c>
      <x:c r="M84" s="2"/>
      <x:c r="N84" s="2"/>
      <x:c r="O84" s="2"/>
      <x:c r="P84" s="2"/>
      <x:c r="Q84" s="2"/>
      <x:c r="R84" s="2"/>
      <x:c r="S84" s="2"/>
      <x:c r="T84" s="2"/>
      <x:c r="U84" s="2"/>
    </x:row>
    <x:row r="85" ht="26" customHeight="1">
      <x:c r="A85" s="2" t="str">
        <x:v>E06000042</x:v>
      </x:c>
      <x:c r="B85" s="2" t="str">
        <x:v>Tiểu học</x:v>
      </x:c>
      <x:c r="C85" s="2" t="str">
        <x:v>Milton Keynes</x:v>
      </x:c>
      <x:c r="D85" s="12" t="n">
        <x:f>Nguon!F86/Nguon!D86</x:f>
        <x:v>0.13441840277777778</x:v>
      </x:c>
      <x:c r="E85" s="12" t="n">
        <x:f>Nguon!G86/Nguon!E86</x:f>
        <x:v>0.12188600205000223</x:v>
      </x:c>
      <x:c r="F85" s="13" t="n">
        <x:f>(E85-D85)*100</x:f>
        <x:v>-1.2532400727775548</x:v>
      </x:c>
      <x:c r="G85" s="12" t="n">
        <x:f>Nguon!H86/Nguon!D86</x:f>
        <x:v>0.0109375</x:v>
      </x:c>
      <x:c r="H85" s="12" t="n">
        <x:f>Nguon!I86/Nguon!E86</x:f>
        <x:v>0.009536966888007486</x:v>
      </x:c>
      <x:c r="I85" s="13" t="n">
        <x:f>(H85-G85)*100</x:f>
        <x:v>-0.14005331119925132</x:v>
      </x:c>
      <x:c r="J85" s="11" t="n">
        <x:f>Nguon!G86-Nguon!I86</x:f>
        <x:v>2521</x:v>
      </x:c>
      <x:c r="K85" s="12" t="n">
        <x:f>Nguon!N86/Nguon!K86</x:f>
        <x:v>0.027632572977630623</x:v>
      </x:c>
      <x:c r="L85" s="12" t="n">
        <x:f>Nguon!O86/Nguon!K86</x:f>
        <x:v>0.004979778763152047</x:v>
      </x:c>
      <x:c r="M85" s="2"/>
      <x:c r="N85" s="2"/>
      <x:c r="O85" s="2"/>
      <x:c r="P85" s="2"/>
      <x:c r="Q85" s="2"/>
      <x:c r="R85" s="2"/>
      <x:c r="S85" s="2"/>
      <x:c r="T85" s="2"/>
      <x:c r="U85" s="2"/>
    </x:row>
    <x:row r="86" ht="26" customHeight="1">
      <x:c r="A86" s="2" t="str">
        <x:v>E06000042</x:v>
      </x:c>
      <x:c r="B86" s="2" t="str">
        <x:v>Trung học</x:v>
      </x:c>
      <x:c r="C86" s="2" t="str">
        <x:v>Milton Keynes</x:v>
      </x:c>
      <x:c r="D86" s="12" t="n">
        <x:f>Nguon!F87/Nguon!D87</x:f>
        <x:v>0.2045013581684129</x:v>
      </x:c>
      <x:c r="E86" s="12" t="n">
        <x:f>Nguon!G87/Nguon!E87</x:f>
        <x:v>0.19854385208602768</x:v>
      </x:c>
      <x:c r="F86" s="13" t="n">
        <x:f>(E86-D86)*100</x:f>
        <x:v>-0.5957506082385211</x:v>
      </x:c>
      <x:c r="G86" s="12" t="n">
        <x:f>Nguon!H87/Nguon!D87</x:f>
        <x:v>0.031771439658517656</x:v>
      </x:c>
      <x:c r="H86" s="12" t="n">
        <x:f>Nguon!I87/Nguon!E87</x:f>
        <x:v>0.03204483402787757</x:v>
      </x:c>
      <x:c r="I86" s="13" t="n">
        <x:f>(H86-G86)*100</x:f>
        <x:v>0.02733943693599139</x:v>
      </x:c>
      <x:c r="J86" s="11" t="n">
        <x:f>Nguon!G87-Nguon!I87</x:f>
        <x:v>3476</x:v>
      </x:c>
      <x:c r="K86" s="12" t="n">
        <x:f>Nguon!N87/Nguon!K87</x:f>
        <x:v>0.03850423365779636</x:v>
      </x:c>
      <x:c r="L86" s="12" t="n">
        <x:f>Nguon!O87/Nguon!K87</x:f>
        <x:v>0.017681737061066623</x:v>
      </x:c>
      <x:c r="M86" s="2"/>
      <x:c r="N86" s="2"/>
      <x:c r="O86" s="2"/>
      <x:c r="P86" s="2"/>
      <x:c r="Q86" s="2"/>
      <x:c r="R86" s="2"/>
      <x:c r="S86" s="2"/>
      <x:c r="T86" s="2"/>
      <x:c r="U86" s="2"/>
    </x:row>
    <x:row r="87" ht="26" customHeight="1">
      <x:c r="A87" s="2" t="str">
        <x:v>E06000043</x:v>
      </x:c>
      <x:c r="B87" s="2" t="str">
        <x:v>Tiểu học</x:v>
      </x:c>
      <x:c r="C87" s="2" t="str">
        <x:v>Brighton and Hove</x:v>
      </x:c>
      <x:c r="D87" s="12" t="n">
        <x:f>Nguon!F88/Nguon!D88</x:f>
        <x:v>0.1419828641370869</x:v>
      </x:c>
      <x:c r="E87" s="12" t="n">
        <x:f>Nguon!G88/Nguon!E88</x:f>
        <x:v>0.14424284717376135</x:v>
      </x:c>
      <x:c r="F87" s="13" t="n">
        <x:f>(E87-D87)*100</x:f>
        <x:v>0.22599830366744345</x:v>
      </x:c>
      <x:c r="G87" s="12" t="n">
        <x:f>Nguon!H88/Nguon!D88</x:f>
        <x:v>0.011559907520739834</x:v>
      </x:c>
      <x:c r="H87" s="12" t="n">
        <x:f>Nguon!I88/Nguon!E88</x:f>
        <x:v>0.012979762735519889</x:v>
      </x:c>
      <x:c r="I87" s="13" t="n">
        <x:f>(H87-G87)*100</x:f>
        <x:v>0.14198552147800542</x:v>
      </x:c>
      <x:c r="J87" s="11" t="n">
        <x:f>Nguon!G88-Nguon!I88</x:f>
        <x:v>1881</x:v>
      </x:c>
      <x:c r="K87" s="12" t="n">
        <x:f>Nguon!N88/Nguon!K88</x:f>
        <x:v>0.03188344796098725</x:v>
      </x:c>
      <x:c r="L87" s="12" t="n">
        <x:f>Nguon!O88/Nguon!K88</x:f>
        <x:v>0.006187030340959718</x:v>
      </x:c>
      <x:c r="M87" s="2"/>
      <x:c r="N87" s="2"/>
      <x:c r="O87" s="2"/>
      <x:c r="P87" s="2"/>
      <x:c r="Q87" s="2"/>
      <x:c r="R87" s="2"/>
      <x:c r="S87" s="2"/>
      <x:c r="T87" s="2"/>
      <x:c r="U87" s="2"/>
    </x:row>
    <x:row r="88" ht="26" customHeight="1">
      <x:c r="A88" s="2" t="str">
        <x:v>E06000043</x:v>
      </x:c>
      <x:c r="B88" s="2" t="str">
        <x:v>Trung học</x:v>
      </x:c>
      <x:c r="C88" s="2" t="str">
        <x:v>Brighton and Hove</x:v>
      </x:c>
      <x:c r="D88" s="12" t="n">
        <x:f>Nguon!F89/Nguon!D89</x:f>
        <x:v>0.2540482485128883</x:v>
      </x:c>
      <x:c r="E88" s="12" t="n">
        <x:f>Nguon!G89/Nguon!E89</x:f>
        <x:v>0.2694922366764582</x:v>
      </x:c>
      <x:c r="F88" s="13" t="n">
        <x:f>(E88-D88)*100</x:f>
        <x:v>1.54439881635699</x:v>
      </x:c>
      <x:c r="G88" s="12" t="n">
        <x:f>Nguon!H89/Nguon!D89</x:f>
        <x:v>0.04659616655651024</x:v>
      </x:c>
      <x:c r="H88" s="12" t="n">
        <x:f>Nguon!I89/Nguon!E89</x:f>
        <x:v>0.04414603441040705</x:v>
      </x:c>
      <x:c r="I88" s="13" t="n">
        <x:f>(H88-G88)*100</x:f>
        <x:v>-0.24501321461031927</x:v>
      </x:c>
      <x:c r="J88" s="11" t="n">
        <x:f>Nguon!G89-Nguon!I89</x:f>
        <x:v>2685</x:v>
      </x:c>
      <x:c r="K88" s="12" t="n">
        <x:f>Nguon!N89/Nguon!K89</x:f>
        <x:v>0.05598161593055456</x:v>
      </x:c>
      <x:c r="L88" s="12" t="n">
        <x:f>Nguon!O89/Nguon!K89</x:f>
        <x:v>0.02212041787814934</x:v>
      </x:c>
      <x:c r="M88" s="2"/>
      <x:c r="N88" s="2"/>
      <x:c r="O88" s="2"/>
      <x:c r="P88" s="2"/>
      <x:c r="Q88" s="2"/>
      <x:c r="R88" s="2"/>
      <x:c r="S88" s="2"/>
      <x:c r="T88" s="2"/>
      <x:c r="U88" s="2"/>
    </x:row>
    <x:row r="89" ht="26" customHeight="1">
      <x:c r="A89" s="2" t="str">
        <x:v>E06000044</x:v>
      </x:c>
      <x:c r="B89" s="2" t="str">
        <x:v>Tiểu học</x:v>
      </x:c>
      <x:c r="C89" s="2" t="str">
        <x:v>Portsmouth</x:v>
      </x:c>
      <x:c r="D89" s="12" t="n">
        <x:f>Nguon!F90/Nguon!D90</x:f>
        <x:v>0.13803478388493431</x:v>
      </x:c>
      <x:c r="E89" s="12" t="n">
        <x:f>Nguon!G90/Nguon!E90</x:f>
        <x:v>0.14213082410077402</x:v>
      </x:c>
      <x:c r="F89" s="13" t="n">
        <x:f>(E89-D89)*100</x:f>
        <x:v>0.40960402158397025</x:v>
      </x:c>
      <x:c r="G89" s="12" t="n">
        <x:f>Nguon!H90/Nguon!D90</x:f>
        <x:v>0.009319732883246496</x:v>
      </x:c>
      <x:c r="H89" s="12" t="n">
        <x:f>Nguon!I90/Nguon!E90</x:f>
        <x:v>0.010547882835028078</x:v>
      </x:c>
      <x:c r="I89" s="13" t="n">
        <x:f>(H89-G89)*100</x:f>
        <x:v>0.12281499517815819</x:v>
      </x:c>
      <x:c r="J89" s="11" t="n">
        <x:f>Nguon!G90-Nguon!I90</x:f>
        <x:v>1734</x:v>
      </x:c>
      <x:c r="K89" s="12" t="n">
        <x:f>Nguon!N90/Nguon!K90</x:f>
        <x:v>0.028343570712624604</x:v>
      </x:c>
      <x:c r="L89" s="12" t="n">
        <x:f>Nguon!O90/Nguon!K90</x:f>
        <x:v>0.007205877442354961</x:v>
      </x:c>
      <x:c r="M89" s="2"/>
      <x:c r="N89" s="2"/>
      <x:c r="O89" s="2"/>
      <x:c r="P89" s="2"/>
      <x:c r="Q89" s="2"/>
      <x:c r="R89" s="2"/>
      <x:c r="S89" s="2"/>
      <x:c r="T89" s="2"/>
      <x:c r="U89" s="2"/>
    </x:row>
    <x:row r="90" ht="26" customHeight="1">
      <x:c r="A90" s="2" t="str">
        <x:v>E06000044</x:v>
      </x:c>
      <x:c r="B90" s="2" t="str">
        <x:v>Trung học</x:v>
      </x:c>
      <x:c r="C90" s="2" t="str">
        <x:v>Portsmouth</x:v>
      </x:c>
      <x:c r="D90" s="12" t="n">
        <x:f>Nguon!F91/Nguon!D91</x:f>
        <x:v>0.24593783115506887</x:v>
      </x:c>
      <x:c r="E90" s="12" t="n">
        <x:f>Nguon!G91/Nguon!E91</x:f>
        <x:v>0.24176692719768156</x:v>
      </x:c>
      <x:c r="F90" s="13" t="n">
        <x:f>(E90-D90)*100</x:f>
        <x:v>-0.4170903957387312</x:v>
      </x:c>
      <x:c r="G90" s="12" t="n">
        <x:f>Nguon!H91/Nguon!D91</x:f>
        <x:v>0.04415400918403391</x:v>
      </x:c>
      <x:c r="H90" s="12" t="n">
        <x:f>Nguon!I91/Nguon!E91</x:f>
        <x:v>0.040836041099499426</x:v>
      </x:c>
      <x:c r="I90" s="13" t="n">
        <x:f>(H90-G90)*100</x:f>
        <x:v>-0.3317968084534481</x:v>
      </x:c>
      <x:c r="J90" s="11" t="n">
        <x:f>Nguon!G91-Nguon!I91</x:f>
        <x:v>2288</x:v>
      </x:c>
      <x:c r="K90" s="12" t="n">
        <x:f>Nguon!N91/Nguon!K91</x:f>
        <x:v>0.03789215440257742</x:v>
      </x:c>
      <x:c r="L90" s="12" t="n">
        <x:f>Nguon!O91/Nguon!K91</x:f>
        <x:v>0.03153725373130437</x:v>
      </x:c>
      <x:c r="M90" s="2"/>
      <x:c r="N90" s="2"/>
      <x:c r="O90" s="2"/>
      <x:c r="P90" s="2"/>
      <x:c r="Q90" s="2"/>
      <x:c r="R90" s="2"/>
      <x:c r="S90" s="2"/>
      <x:c r="T90" s="2"/>
      <x:c r="U90" s="2"/>
    </x:row>
    <x:row r="91" ht="26" customHeight="1">
      <x:c r="A91" s="2" t="str">
        <x:v>E06000045</x:v>
      </x:c>
      <x:c r="B91" s="2" t="str">
        <x:v>Tiểu học</x:v>
      </x:c>
      <x:c r="C91" s="2" t="str">
        <x:v>Southampton</x:v>
      </x:c>
      <x:c r="D91" s="12" t="n">
        <x:f>Nguon!F92/Nguon!D92</x:f>
        <x:v>0.15880878491286704</x:v>
      </x:c>
      <x:c r="E91" s="12" t="n">
        <x:f>Nguon!G92/Nguon!E92</x:f>
        <x:v>0.17497550220480157</x:v>
      </x:c>
      <x:c r="F91" s="13" t="n">
        <x:f>(E91-D91)*100</x:f>
        <x:v>1.616671729193453</x:v>
      </x:c>
      <x:c r="G91" s="12" t="n">
        <x:f>Nguon!H92/Nguon!D92</x:f>
        <x:v>0.012353783719264742</x:v>
      </x:c>
      <x:c r="H91" s="12" t="n">
        <x:f>Nguon!I92/Nguon!E92</x:f>
        <x:v>0.01218765311121999</x:v>
      </x:c>
      <x:c r="I91" s="13" t="n">
        <x:f>(H91-G91)*100</x:f>
        <x:v>-0.016613060804475215</x:v>
      </x:c>
      <x:c r="J91" s="11" t="n">
        <x:f>Nguon!G92-Nguon!I92</x:f>
        <x:v>2658</x:v>
      </x:c>
      <x:c r="K91" s="12" t="n">
        <x:f>Nguon!N92/Nguon!K92</x:f>
        <x:v>0.03299297330939989</x:v>
      </x:c>
      <x:c r="L91" s="12" t="n">
        <x:f>Nguon!O92/Nguon!K92</x:f>
        <x:v>0.008659787305052182</x:v>
      </x:c>
      <x:c r="M91" s="2"/>
      <x:c r="N91" s="2"/>
      <x:c r="O91" s="2"/>
      <x:c r="P91" s="2"/>
      <x:c r="Q91" s="2"/>
      <x:c r="R91" s="2"/>
      <x:c r="S91" s="2"/>
      <x:c r="T91" s="2"/>
      <x:c r="U91" s="2"/>
    </x:row>
    <x:row r="92" ht="26" customHeight="1">
      <x:c r="A92" s="2" t="str">
        <x:v>E06000045</x:v>
      </x:c>
      <x:c r="B92" s="2" t="str">
        <x:v>Trung học</x:v>
      </x:c>
      <x:c r="C92" s="2" t="str">
        <x:v>Southampton</x:v>
      </x:c>
      <x:c r="D92" s="12" t="n">
        <x:f>Nguon!F93/Nguon!D93</x:f>
        <x:v>0.24528301886792453</x:v>
      </x:c>
      <x:c r="E92" s="12" t="n">
        <x:f>Nguon!G93/Nguon!E93</x:f>
        <x:v>0.25807860262008736</x:v>
      </x:c>
      <x:c r="F92" s="13" t="n">
        <x:f>(E92-D92)*100</x:f>
        <x:v>1.2795583752162831</x:v>
      </x:c>
      <x:c r="G92" s="12" t="n">
        <x:f>Nguon!H93/Nguon!D93</x:f>
        <x:v>0.04499274310595065</x:v>
      </x:c>
      <x:c r="H92" s="12" t="n">
        <x:f>Nguon!I93/Nguon!E93</x:f>
        <x:v>0.04941775836972344</x:v>
      </x:c>
      <x:c r="I92" s="13" t="n">
        <x:f>(H92-G92)*100</x:f>
        <x:v>0.4425015263772786</x:v>
      </x:c>
      <x:c r="J92" s="11" t="n">
        <x:f>Nguon!G93-Nguon!I93</x:f>
        <x:v>2867</x:v>
      </x:c>
      <x:c r="K92" s="12" t="n">
        <x:f>Nguon!N93/Nguon!K93</x:f>
        <x:v>0.04094161553401837</x:v>
      </x:c>
      <x:c r="L92" s="12" t="n">
        <x:f>Nguon!O93/Nguon!K93</x:f>
        <x:v>0.0325991241816569</x:v>
      </x:c>
      <x:c r="M92" s="2"/>
      <x:c r="N92" s="2"/>
      <x:c r="O92" s="2"/>
      <x:c r="P92" s="2"/>
      <x:c r="Q92" s="2"/>
      <x:c r="R92" s="2"/>
      <x:c r="S92" s="2"/>
      <x:c r="T92" s="2"/>
      <x:c r="U92" s="2"/>
    </x:row>
    <x:row r="93" ht="26" customHeight="1">
      <x:c r="A93" s="2" t="str">
        <x:v>E06000046</x:v>
      </x:c>
      <x:c r="B93" s="2" t="str">
        <x:v>Tiểu học</x:v>
      </x:c>
      <x:c r="C93" s="2" t="str">
        <x:v>Isle of Wight</x:v>
      </x:c>
      <x:c r="D93" s="12" t="n">
        <x:f>Nguon!F94/Nguon!D94</x:f>
        <x:v>0.18109061313076505</x:v>
      </x:c>
      <x:c r="E93" s="12" t="n">
        <x:f>Nguon!G94/Nguon!E94</x:f>
        <x:v>0.17651286474054909</x:v>
      </x:c>
      <x:c r="F93" s="13" t="n">
        <x:f>(E93-D93)*100</x:f>
        <x:v>-0.4577748390215963</x:v>
      </x:c>
      <x:c r="G93" s="12" t="n">
        <x:f>Nguon!H94/Nguon!D94</x:f>
        <x:v>0.008952794357026587</x:v>
      </x:c>
      <x:c r="H93" s="12" t="n">
        <x:f>Nguon!I94/Nguon!E94</x:f>
        <x:v>0.01581141296535863</x:v>
      </x:c>
      <x:c r="I93" s="13" t="n">
        <x:f>(H93-G93)*100</x:f>
        <x:v>0.6858618608332043</x:v>
      </x:c>
      <x:c r="J93" s="11" t="n">
        <x:f>Nguon!G94-Nguon!I94</x:f>
        <x:v>1118</x:v>
      </x:c>
      <x:c r="K93" s="12" t="n">
        <x:f>Nguon!N94/Nguon!K94</x:f>
        <x:v>0.03418102033412228</x:v>
      </x:c>
      <x:c r="L93" s="12" t="n">
        <x:f>Nguon!O94/Nguon!K94</x:f>
        <x:v>0.0057734999913618855</x:v>
      </x:c>
      <x:c r="M93" s="2"/>
      <x:c r="N93" s="2"/>
      <x:c r="O93" s="2"/>
      <x:c r="P93" s="2"/>
      <x:c r="Q93" s="2"/>
      <x:c r="R93" s="2"/>
      <x:c r="S93" s="2"/>
      <x:c r="T93" s="2"/>
      <x:c r="U93" s="2"/>
    </x:row>
    <x:row r="94" ht="26" customHeight="1">
      <x:c r="A94" s="2" t="str">
        <x:v>E06000046</x:v>
      </x:c>
      <x:c r="B94" s="2" t="str">
        <x:v>Trung học</x:v>
      </x:c>
      <x:c r="C94" s="2" t="str">
        <x:v>Isle of Wight</x:v>
      </x:c>
      <x:c r="D94" s="12" t="n">
        <x:f>Nguon!F95/Nguon!D95</x:f>
        <x:v>0.2782661412549257</x:v>
      </x:c>
      <x:c r="E94" s="12" t="n">
        <x:f>Nguon!G95/Nguon!E95</x:f>
        <x:v>0.2746748278500383</x:v>
      </x:c>
      <x:c r="F94" s="13" t="n">
        <x:f>(E94-D94)*100</x:f>
        <x:v>-0.3591313404887442</x:v>
      </x:c>
      <x:c r="G94" s="12" t="n">
        <x:f>Nguon!H95/Nguon!D95</x:f>
        <x:v>0.042437102152167325</x:v>
      </x:c>
      <x:c r="H94" s="12" t="n">
        <x:f>Nguon!I95/Nguon!E95</x:f>
        <x:v>0.047589900535577656</x:v>
      </x:c>
      <x:c r="I94" s="13" t="n">
        <x:f>(H94-G94)*100</x:f>
        <x:v>0.5152798383410331</x:v>
      </x:c>
      <x:c r="J94" s="11" t="n">
        <x:f>Nguon!G95-Nguon!I95</x:f>
        <x:v>1484</x:v>
      </x:c>
      <x:c r="K94" s="12" t="n">
        <x:f>Nguon!N95/Nguon!K95</x:f>
        <x:v>0.0562534665105453</x:v>
      </x:c>
      <x:c r="L94" s="12" t="n">
        <x:f>Nguon!O95/Nguon!K95</x:f>
        <x:v>0.013658644114398403</x:v>
      </x:c>
      <x:c r="M94" s="2"/>
      <x:c r="N94" s="2"/>
      <x:c r="O94" s="2"/>
      <x:c r="P94" s="2"/>
      <x:c r="Q94" s="2"/>
      <x:c r="R94" s="2"/>
      <x:c r="S94" s="2"/>
      <x:c r="T94" s="2"/>
      <x:c r="U94" s="2"/>
    </x:row>
    <x:row r="95" ht="26" customHeight="1">
      <x:c r="A95" s="2" t="str">
        <x:v>E06000047</x:v>
      </x:c>
      <x:c r="B95" s="2" t="str">
        <x:v>Tiểu học</x:v>
      </x:c>
      <x:c r="C95" s="2" t="str">
        <x:v>County Durham</x:v>
      </x:c>
      <x:c r="D95" s="12" t="n">
        <x:f>Nguon!F96/Nguon!D96</x:f>
        <x:v>0.1545202098117865</x:v>
      </x:c>
      <x:c r="E95" s="12" t="n">
        <x:f>Nguon!G96/Nguon!E96</x:f>
        <x:v>0.1651510333863275</x:v>
      </x:c>
      <x:c r="F95" s="13" t="n">
        <x:f>(E95-D95)*100</x:f>
        <x:v>1.063082357454101</x:v>
      </x:c>
      <x:c r="G95" s="12" t="n">
        <x:f>Nguon!H96/Nguon!D96</x:f>
        <x:v>0.007312557852514656</x:v>
      </x:c>
      <x:c r="H95" s="12" t="n">
        <x:f>Nguon!I96/Nguon!E96</x:f>
        <x:v>0.009125596184419714</x:v>
      </x:c>
      <x:c r="I95" s="13" t="n">
        <x:f>(H95-G95)*100</x:f>
        <x:v>0.18130383319050575</x:v>
      </x:c>
      <x:c r="J95" s="11" t="n">
        <x:f>Nguon!G96-Nguon!I96</x:f>
        <x:v>4907</x:v>
      </x:c>
      <x:c r="K95" s="12" t="n">
        <x:f>Nguon!N96/Nguon!K96</x:f>
        <x:v>0.03255994825687681</x:v>
      </x:c>
      <x:c r="L95" s="12" t="n">
        <x:f>Nguon!O96/Nguon!K96</x:f>
        <x:v>0.006360314948844867</x:v>
      </x:c>
      <x:c r="M95" s="2"/>
      <x:c r="N95" s="2"/>
      <x:c r="O95" s="2"/>
      <x:c r="P95" s="2"/>
      <x:c r="Q95" s="2"/>
      <x:c r="R95" s="2"/>
      <x:c r="S95" s="2"/>
      <x:c r="T95" s="2"/>
      <x:c r="U95" s="2"/>
    </x:row>
    <x:row r="96" ht="26" customHeight="1">
      <x:c r="A96" s="2" t="str">
        <x:v>E06000047</x:v>
      </x:c>
      <x:c r="B96" s="2" t="str">
        <x:v>Trung học</x:v>
      </x:c>
      <x:c r="C96" s="2" t="str">
        <x:v>County Durham</x:v>
      </x:c>
      <x:c r="D96" s="12" t="n">
        <x:f>Nguon!F97/Nguon!D97</x:f>
        <x:v>0.23607407407407408</x:v>
      </x:c>
      <x:c r="E96" s="12" t="n">
        <x:f>Nguon!G97/Nguon!E97</x:f>
        <x:v>0.23704256908140403</x:v>
      </x:c>
      <x:c r="F96" s="13" t="n">
        <x:f>(E96-D96)*100</x:f>
        <x:v>0.09684950073299559</x:v>
      </x:c>
      <x:c r="G96" s="12" t="n">
        <x:f>Nguon!H97/Nguon!D97</x:f>
        <x:v>0.03440740740740741</x:v>
      </x:c>
      <x:c r="H96" s="12" t="n">
        <x:f>Nguon!I97/Nguon!E97</x:f>
        <x:v>0.031179985063480208</x:v>
      </x:c>
      <x:c r="I96" s="13" t="n">
        <x:f>(H96-G96)*100</x:f>
        <x:v>-0.32274223439272</x:v>
      </x:c>
      <x:c r="J96" s="11" t="n">
        <x:f>Nguon!G97-Nguon!I97</x:f>
        <x:v>5513</x:v>
      </x:c>
      <x:c r="K96" s="12" t="n">
        <x:f>Nguon!N97/Nguon!K97</x:f>
        <x:v>0.04148633360092218</x:v>
      </x:c>
      <x:c r="L96" s="12" t="n">
        <x:f>Nguon!O97/Nguon!K97</x:f>
        <x:v>0.022983967376422706</x:v>
      </x:c>
      <x:c r="M96" s="2"/>
      <x:c r="N96" s="2"/>
      <x:c r="O96" s="2"/>
      <x:c r="P96" s="2"/>
      <x:c r="Q96" s="2"/>
      <x:c r="R96" s="2"/>
      <x:c r="S96" s="2"/>
      <x:c r="T96" s="2"/>
      <x:c r="U96" s="2"/>
    </x:row>
    <x:row r="97" ht="26" customHeight="1">
      <x:c r="A97" s="2" t="str">
        <x:v>E06000049</x:v>
      </x:c>
      <x:c r="B97" s="2" t="str">
        <x:v>Tiểu học</x:v>
      </x:c>
      <x:c r="C97" s="2" t="str">
        <x:v>Cheshire East</x:v>
      </x:c>
      <x:c r="D97" s="12" t="n">
        <x:f>Nguon!F98/Nguon!D98</x:f>
        <x:v>0.11485040656732677</x:v>
      </x:c>
      <x:c r="E97" s="12" t="n">
        <x:f>Nguon!G98/Nguon!E98</x:f>
        <x:v>0.1220855301698887</x:v>
      </x:c>
      <x:c r="F97" s="13" t="n">
        <x:f>(E97-D97)*100</x:f>
        <x:v>0.7235123602561927</x:v>
      </x:c>
      <x:c r="G97" s="12" t="n">
        <x:f>Nguon!H98/Nguon!D98</x:f>
        <x:v>0.006069330428354666</x:v>
      </x:c>
      <x:c r="H97" s="12" t="n">
        <x:f>Nguon!I98/Nguon!E98</x:f>
        <x:v>0.007147041593438781</x:v>
      </x:c>
      <x:c r="I97" s="13" t="n">
        <x:f>(H97-G97)*100</x:f>
        <x:v>0.10777111650841151</x:v>
      </x:c>
      <x:c r="J97" s="11" t="n">
        <x:f>Nguon!G98-Nguon!I98</x:f>
        <x:v>2943</x:v>
      </x:c>
      <x:c r="K97" s="12" t="n">
        <x:f>Nguon!N98/Nguon!K98</x:f>
        <x:v>0.03021845582552069</x:v>
      </x:c>
      <x:c r="L97" s="12" t="n">
        <x:f>Nguon!O98/Nguon!K98</x:f>
        <x:v>0.0027440393763202655</x:v>
      </x:c>
      <x:c r="M97" s="2"/>
      <x:c r="N97" s="2"/>
      <x:c r="O97" s="2"/>
      <x:c r="P97" s="2"/>
      <x:c r="Q97" s="2"/>
      <x:c r="R97" s="2"/>
      <x:c r="S97" s="2"/>
      <x:c r="T97" s="2"/>
      <x:c r="U97" s="2"/>
    </x:row>
    <x:row r="98" ht="26" customHeight="1">
      <x:c r="A98" s="2" t="str">
        <x:v>E06000049</x:v>
      </x:c>
      <x:c r="B98" s="2" t="str">
        <x:v>Trung học</x:v>
      </x:c>
      <x:c r="C98" s="2" t="str">
        <x:v>Cheshire East</x:v>
      </x:c>
      <x:c r="D98" s="12" t="n">
        <x:f>Nguon!F99/Nguon!D99</x:f>
        <x:v>0.19021615472127418</x:v>
      </x:c>
      <x:c r="E98" s="12" t="n">
        <x:f>Nguon!G99/Nguon!E99</x:f>
        <x:v>0.19977074736359468</x:v>
      </x:c>
      <x:c r="F98" s="13" t="n">
        <x:f>(E98-D98)*100</x:f>
        <x:v>0.9554592642320503</x:v>
      </x:c>
      <x:c r="G98" s="12" t="n">
        <x:f>Nguon!H99/Nguon!D99</x:f>
        <x:v>0.02757679180887372</x:v>
      </x:c>
      <x:c r="H98" s="12" t="n">
        <x:f>Nguon!I99/Nguon!E99</x:f>
        <x:v>0.027602017423200367</x:v>
      </x:c>
      <x:c r="I98" s="13" t="n">
        <x:f>(H98-G98)*100</x:f>
        <x:v>0.0025225614326645357</x:v>
      </x:c>
      <x:c r="J98" s="11" t="n">
        <x:f>Nguon!G99-Nguon!I99</x:f>
        <x:v>3755</x:v>
      </x:c>
      <x:c r="K98" s="12" t="n">
        <x:f>Nguon!N99/Nguon!K99</x:f>
        <x:v>0.046077409866691954</x:v>
      </x:c>
      <x:c r="L98" s="12" t="n">
        <x:f>Nguon!O99/Nguon!K99</x:f>
        <x:v>0.010551875289877761</x:v>
      </x:c>
      <x:c r="M98" s="2"/>
      <x:c r="N98" s="2"/>
      <x:c r="O98" s="2"/>
      <x:c r="P98" s="2"/>
      <x:c r="Q98" s="2"/>
      <x:c r="R98" s="2"/>
      <x:c r="S98" s="2"/>
      <x:c r="T98" s="2"/>
      <x:c r="U98" s="2"/>
    </x:row>
    <x:row r="99" ht="26" customHeight="1">
      <x:c r="A99" s="2" t="str">
        <x:v>E06000050</x:v>
      </x:c>
      <x:c r="B99" s="2" t="str">
        <x:v>Tiểu học</x:v>
      </x:c>
      <x:c r="C99" s="2" t="str">
        <x:v>Cheshire West and Chester</x:v>
      </x:c>
      <x:c r="D99" s="12" t="n">
        <x:f>Nguon!F100/Nguon!D100</x:f>
        <x:v>0.13100715746421268</x:v>
      </x:c>
      <x:c r="E99" s="12" t="n">
        <x:f>Nguon!G100/Nguon!E100</x:f>
        <x:v>0.1352322410285269</x:v>
      </x:c>
      <x:c r="F99" s="13" t="n">
        <x:f>(E99-D99)*100</x:f>
        <x:v>0.4225083564314225</x:v>
      </x:c>
      <x:c r="G99" s="12" t="n">
        <x:f>Nguon!H100/Nguon!D100</x:f>
        <x:v>0.007029652351738241</x:v>
      </x:c>
      <x:c r="H99" s="12" t="n">
        <x:f>Nguon!I100/Nguon!E100</x:f>
        <x:v>0.006926107094930955</x:v>
      </x:c>
      <x:c r="I99" s="13" t="n">
        <x:f>(H99-G99)*100</x:f>
        <x:v>-0.010354525680728553</x:v>
      </x:c>
      <x:c r="J99" s="11" t="n">
        <x:f>Nguon!G100-Nguon!I100</x:f>
        <x:v>2964</x:v>
      </x:c>
      <x:c r="K99" s="12" t="n">
        <x:f>Nguon!N100/Nguon!K100</x:f>
        <x:v>0.029256638838932363</x:v>
      </x:c>
      <x:c r="L99" s="12" t="n">
        <x:f>Nguon!O100/Nguon!K100</x:f>
        <x:v>0.0037920229851114763</x:v>
      </x:c>
      <x:c r="M99" s="2"/>
      <x:c r="N99" s="2"/>
      <x:c r="O99" s="2"/>
      <x:c r="P99" s="2"/>
      <x:c r="Q99" s="2"/>
      <x:c r="R99" s="2"/>
      <x:c r="S99" s="2"/>
      <x:c r="T99" s="2"/>
      <x:c r="U99" s="2"/>
    </x:row>
    <x:row r="100" ht="26" customHeight="1">
      <x:c r="A100" s="2" t="str">
        <x:v>E06000050</x:v>
      </x:c>
      <x:c r="B100" s="2" t="str">
        <x:v>Trung học</x:v>
      </x:c>
      <x:c r="C100" s="2" t="str">
        <x:v>Cheshire West and Chester</x:v>
      </x:c>
      <x:c r="D100" s="12" t="n">
        <x:f>Nguon!F101/Nguon!D101</x:f>
        <x:v>0.22363366285919173</x:v>
      </x:c>
      <x:c r="E100" s="12" t="n">
        <x:f>Nguon!G101/Nguon!E101</x:f>
        <x:v>0.23838529836877967</x:v>
      </x:c>
      <x:c r="F100" s="13" t="n">
        <x:f>(E100-D100)*100</x:f>
        <x:v>1.475163550958794</x:v>
      </x:c>
      <x:c r="G100" s="12" t="n">
        <x:f>Nguon!H101/Nguon!D101</x:f>
        <x:v>0.036777134661681095</x:v>
      </x:c>
      <x:c r="H100" s="12" t="n">
        <x:f>Nguon!I101/Nguon!E101</x:f>
        <x:v>0.03727028701218253</x:v>
      </x:c>
      <x:c r="I100" s="13" t="n">
        <x:f>(H100-G100)*100</x:f>
        <x:v>0.04931523505014371</x:v>
      </x:c>
      <x:c r="J100" s="11" t="n">
        <x:f>Nguon!G101-Nguon!I101</x:f>
        <x:v>3896</x:v>
      </x:c>
      <x:c r="K100" s="12" t="n">
        <x:f>Nguon!N101/Nguon!K101</x:f>
        <x:v>0.04532201747327656</x:v>
      </x:c>
      <x:c r="L100" s="12" t="n">
        <x:f>Nguon!O101/Nguon!K101</x:f>
        <x:v>0.02054019644766676</x:v>
      </x:c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 ht="26" customHeight="1">
      <x:c r="A101" s="2" t="str">
        <x:v>E06000051</x:v>
      </x:c>
      <x:c r="B101" s="2" t="str">
        <x:v>Tiểu học</x:v>
      </x:c>
      <x:c r="C101" s="2" t="str">
        <x:v>Shropshire</x:v>
      </x:c>
      <x:c r="D101" s="12" t="n">
        <x:f>Nguon!F102/Nguon!D102</x:f>
        <x:v>0.14020883354737843</x:v>
      </x:c>
      <x:c r="E101" s="12" t="n">
        <x:f>Nguon!G102/Nguon!E102</x:f>
        <x:v>0.1285851671663744</x:v>
      </x:c>
      <x:c r="F101" s="13" t="n">
        <x:f>(E101-D101)*100</x:f>
        <x:v>-1.1623666381004039</x:v>
      </x:c>
      <x:c r="G101" s="12" t="n">
        <x:f>Nguon!H102/Nguon!D102</x:f>
        <x:v>0.005639622536155006</x:v>
      </x:c>
      <x:c r="H101" s="12" t="n">
        <x:f>Nguon!I102/Nguon!E102</x:f>
        <x:v>0.007693613169655484</x:v>
      </x:c>
      <x:c r="I101" s="13" t="n">
        <x:f>(H101-G101)*100</x:f>
        <x:v>0.20539906335004782</x:v>
      </x:c>
      <x:c r="J101" s="11" t="n">
        <x:f>Nguon!G102-Nguon!I102</x:f>
        <x:v>2137</x:v>
      </x:c>
      <x:c r="K101" s="12" t="n">
        <x:f>Nguon!N102/Nguon!K102</x:f>
        <x:v>0.03116301692227184</x:v>
      </x:c>
      <x:c r="L101" s="12" t="n">
        <x:f>Nguon!O102/Nguon!K102</x:f>
        <x:v>0.0034263507157694</x:v>
      </x:c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 ht="26" customHeight="1">
      <x:c r="A102" s="2" t="str">
        <x:v>E06000051</x:v>
      </x:c>
      <x:c r="B102" s="2" t="str">
        <x:v>Trung học</x:v>
      </x:c>
      <x:c r="C102" s="2" t="str">
        <x:v>Shropshire</x:v>
      </x:c>
      <x:c r="D102" s="12" t="n">
        <x:f>Nguon!F103/Nguon!D103</x:f>
        <x:v>0.2280291047136982</x:v>
      </x:c>
      <x:c r="E102" s="12" t="n">
        <x:f>Nguon!G103/Nguon!E103</x:f>
        <x:v>0.235891215526047</x:v>
      </x:c>
      <x:c r="F102" s="13" t="n">
        <x:f>(E102-D102)*100</x:f>
        <x:v>0.7862110812348805</x:v>
      </x:c>
      <x:c r="G102" s="12" t="n">
        <x:f>Nguon!H103/Nguon!D103</x:f>
        <x:v>0.02809237583043341</x:v>
      </x:c>
      <x:c r="H102" s="12" t="n">
        <x:f>Nguon!I103/Nguon!E103</x:f>
        <x:v>0.031090398365679263</x:v>
      </x:c>
      <x:c r="I102" s="13" t="n">
        <x:f>(H102-G102)*100</x:f>
        <x:v>0.2998022535245854</x:v>
      </x:c>
      <x:c r="J102" s="11" t="n">
        <x:f>Nguon!G103-Nguon!I103</x:f>
        <x:v>3208</x:v>
      </x:c>
      <x:c r="K102" s="12" t="n">
        <x:f>Nguon!N103/Nguon!K103</x:f>
        <x:v>0.046340128855078815</x:v>
      </x:c>
      <x:c r="L102" s="12" t="n">
        <x:f>Nguon!O103/Nguon!K103</x:f>
        <x:v>0.01740747905678234</x:v>
      </x:c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 ht="26" customHeight="1">
      <x:c r="A103" s="2" t="str">
        <x:v>E06000052</x:v>
      </x:c>
      <x:c r="B103" s="2" t="str">
        <x:v>Tiểu học</x:v>
      </x:c>
      <x:c r="C103" s="2" t="str">
        <x:v>Cornwall</x:v>
      </x:c>
      <x:c r="D103" s="12" t="n">
        <x:f>Nguon!F104/Nguon!D104</x:f>
        <x:v>0.14238680729561215</x:v>
      </x:c>
      <x:c r="E103" s="12" t="n">
        <x:f>Nguon!G104/Nguon!E104</x:f>
        <x:v>0.15068616288128484</x:v>
      </x:c>
      <x:c r="F103" s="13" t="n">
        <x:f>(E103-D103)*100</x:f>
        <x:v>0.8299355585672685</x:v>
      </x:c>
      <x:c r="G103" s="12" t="n">
        <x:f>Nguon!H104/Nguon!D104</x:f>
        <x:v>0.008187168579919584</x:v>
      </x:c>
      <x:c r="H103" s="12" t="n">
        <x:f>Nguon!I104/Nguon!E104</x:f>
        <x:v>0.009857973272607418</x:v>
      </x:c>
      <x:c r="I103" s="13" t="n">
        <x:f>(H103-G103)*100</x:f>
        <x:v>0.1670804692687834</x:v>
      </x:c>
      <x:c r="J103" s="11" t="n">
        <x:f>Nguon!G104-Nguon!I104</x:f>
        <x:v>4700</x:v>
      </x:c>
      <x:c r="K103" s="12" t="n">
        <x:f>Nguon!N104/Nguon!K104</x:f>
        <x:v>0.03166210238504145</x:v>
      </x:c>
      <x:c r="L103" s="12" t="n">
        <x:f>Nguon!O104/Nguon!K104</x:f>
        <x:v>0.004914039181127126</x:v>
      </x:c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 ht="26" customHeight="1">
      <x:c r="A104" s="2" t="str">
        <x:v>E06000052</x:v>
      </x:c>
      <x:c r="B104" s="2" t="str">
        <x:v>Trung học</x:v>
      </x:c>
      <x:c r="C104" s="2" t="str">
        <x:v>Cornwall</x:v>
      </x:c>
      <x:c r="D104" s="12" t="n">
        <x:f>Nguon!F105/Nguon!D105</x:f>
        <x:v>0.2405739072405739</x:v>
      </x:c>
      <x:c r="E104" s="12" t="n">
        <x:f>Nguon!G105/Nguon!E105</x:f>
        <x:v>0.25965267239925816</x:v>
      </x:c>
      <x:c r="F104" s="13" t="n">
        <x:f>(E104-D104)*100</x:f>
        <x:v>1.9078765158684257</x:v>
      </x:c>
      <x:c r="G104" s="12" t="n">
        <x:f>Nguon!H105/Nguon!D105</x:f>
        <x:v>0.03660326993660327</x:v>
      </x:c>
      <x:c r="H104" s="12" t="n">
        <x:f>Nguon!I105/Nguon!E105</x:f>
        <x:v>0.035912999494183105</x:v>
      </x:c>
      <x:c r="I104" s="13" t="n">
        <x:f>(H104-G104)*100</x:f>
        <x:v>-0.06902704424201628</x:v>
      </x:c>
      <x:c r="J104" s="11" t="n">
        <x:f>Nguon!G105-Nguon!I105</x:f>
        <x:v>6635</x:v>
      </x:c>
      <x:c r="K104" s="12" t="n">
        <x:f>Nguon!N105/Nguon!K105</x:f>
        <x:v>0.045206026356962574</x:v>
      </x:c>
      <x:c r="L104" s="12" t="n">
        <x:f>Nguon!O105/Nguon!K105</x:f>
        <x:v>0.022268921169972252</x:v>
      </x:c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 ht="26" customHeight="1">
      <x:c r="A105" s="2" t="str">
        <x:v>E06000053</x:v>
      </x:c>
      <x:c r="B105" s="2" t="str">
        <x:v>Trung học</x:v>
      </x:c>
      <x:c r="C105" s="2" t="str">
        <x:v>Isles of Scilly</x:v>
      </x:c>
      <x:c r="D105" s="12" t="n">
        <x:f>Nguon!F106/Nguon!D106</x:f>
        <x:v>0.2647058823529412</x:v>
      </x:c>
      <x:c r="E105" s="12" t="n">
        <x:f>Nguon!G106/Nguon!E106</x:f>
        <x:v>0.19724770642201836</x:v>
      </x:c>
      <x:c r="F105" s="13" t="n">
        <x:f>(E105-D105)*100</x:f>
        <x:v>-6.745817593092282</x:v>
      </x:c>
      <x:c r="G105" s="12" t="n">
        <x:f>Nguon!H106/Nguon!D106</x:f>
        <x:v>0.012605042016806723</x:v>
      </x:c>
      <x:c r="H105" s="12" t="n">
        <x:f>Nguon!I106/Nguon!E106</x:f>
        <x:v>0.009174311926605505</x:v>
      </x:c>
      <x:c r="I105" s="13" t="n">
        <x:f>(H105-G105)*100</x:f>
        <x:v>-0.3430730090201218</x:v>
      </x:c>
      <x:c r="J105" s="11" t="n">
        <x:f>Nguon!G106-Nguon!I106</x:f>
        <x:v>41</x:v>
      </x:c>
      <x:c r="K105" s="12" t="n">
        <x:f>Nguon!N106/Nguon!K106</x:f>
        <x:v>0.026409755440274876</x:v>
      </x:c>
      <x:c r="L105" s="12" t="n">
        <x:f>Nguon!O106/Nguon!K106</x:f>
        <x:v>0.0035370208178939566</x:v>
      </x:c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 ht="26" customHeight="1">
      <x:c r="A106" s="2" t="str">
        <x:v>E06000054</x:v>
      </x:c>
      <x:c r="B106" s="2" t="str">
        <x:v>Tiểu học</x:v>
      </x:c>
      <x:c r="C106" s="2" t="str">
        <x:v>Wiltshire</x:v>
      </x:c>
      <x:c r="D106" s="12" t="n">
        <x:f>Nguon!F107/Nguon!D107</x:f>
        <x:v>0.12060051080794867</x:v>
      </x:c>
      <x:c r="E106" s="12" t="n">
        <x:f>Nguon!G107/Nguon!E107</x:f>
        <x:v>0.1145680586547657</x:v>
      </x:c>
      <x:c r="F106" s="13" t="n">
        <x:f>(E106-D106)*100</x:f>
        <x:v>-0.6032452153182974</x:v>
      </x:c>
      <x:c r="G106" s="12" t="n">
        <x:f>Nguon!H107/Nguon!D107</x:f>
        <x:v>0.007880147013019373</x:v>
      </x:c>
      <x:c r="H106" s="12" t="n">
        <x:f>Nguon!I107/Nguon!E107</x:f>
        <x:v>0.007044947401976411</x:v>
      </x:c>
      <x:c r="I106" s="13" t="n">
        <x:f>(H106-G106)*100</x:f>
        <x:v>-0.08351996110429619</x:v>
      </x:c>
      <x:c r="J106" s="11" t="n">
        <x:f>Nguon!G107-Nguon!I107</x:f>
        <x:v>3373</x:v>
      </x:c>
      <x:c r="K106" s="12" t="n">
        <x:f>Nguon!N107/Nguon!K107</x:f>
        <x:v>0.027817030811679522</x:v>
      </x:c>
      <x:c r="L106" s="12" t="n">
        <x:f>Nguon!O107/Nguon!K107</x:f>
        <x:v>0.003885877548199052</x:v>
      </x:c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 ht="26" customHeight="1">
      <x:c r="A107" s="2" t="str">
        <x:v>E06000054</x:v>
      </x:c>
      <x:c r="B107" s="2" t="str">
        <x:v>Trung học</x:v>
      </x:c>
      <x:c r="C107" s="2" t="str">
        <x:v>Wiltshire</x:v>
      </x:c>
      <x:c r="D107" s="12" t="n">
        <x:f>Nguon!F108/Nguon!D108</x:f>
        <x:v>0.21155797101449275</x:v>
      </x:c>
      <x:c r="E107" s="12" t="n">
        <x:f>Nguon!G108/Nguon!E108</x:f>
        <x:v>0.21606869951240812</x:v>
      </x:c>
      <x:c r="F107" s="13" t="n">
        <x:f>(E107-D107)*100</x:f>
        <x:v>0.4510728497915367</x:v>
      </x:c>
      <x:c r="G107" s="12" t="n">
        <x:f>Nguon!H108/Nguon!D108</x:f>
        <x:v>0.03876811594202899</x:v>
      </x:c>
      <x:c r="H107" s="12" t="n">
        <x:f>Nguon!I108/Nguon!E108</x:f>
        <x:v>0.03602357906993669</x:v>
      </x:c>
      <x:c r="I107" s="13" t="n">
        <x:f>(H107-G107)*100</x:f>
        <x:v>-0.27445368720923</x:v>
      </x:c>
      <x:c r="J107" s="11" t="n">
        <x:f>Nguon!G108-Nguon!I108</x:f>
        <x:v>4948</x:v>
      </x:c>
      <x:c r="K107" s="12" t="n">
        <x:f>Nguon!N108/Nguon!K108</x:f>
        <x:v>0.03847607930731667</x:v>
      </x:c>
      <x:c r="L107" s="12" t="n">
        <x:f>Nguon!O108/Nguon!K108</x:f>
        <x:v>0.02032313723107832</x:v>
      </x:c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 ht="26" customHeight="1">
      <x:c r="A108" s="2" t="str">
        <x:v>E06000055</x:v>
      </x:c>
      <x:c r="B108" s="2" t="str">
        <x:v>Tiểu học</x:v>
      </x:c>
      <x:c r="C108" s="2" t="str">
        <x:v>Bedford</x:v>
      </x:c>
      <x:c r="D108" s="12" t="n">
        <x:f>Nguon!F109/Nguon!D109</x:f>
        <x:v>0.13384484228473997</x:v>
      </x:c>
      <x:c r="E108" s="12" t="n">
        <x:f>Nguon!G109/Nguon!E109</x:f>
        <x:v>0.1265250466484857</x:v>
      </x:c>
      <x:c r="F108" s="13" t="n">
        <x:f>(E108-D108)*100</x:f>
        <x:v>-0.7319795636254262</x:v>
      </x:c>
      <x:c r="G108" s="12" t="n">
        <x:f>Nguon!H109/Nguon!D109</x:f>
        <x:v>0.010017050298380221</x:v>
      </x:c>
      <x:c r="H108" s="12" t="n">
        <x:f>Nguon!I109/Nguon!E109</x:f>
        <x:v>0.008683795033730443</x:v>
      </x:c>
      <x:c r="I108" s="13" t="n">
        <x:f>(H108-G108)*100</x:f>
        <x:v>-0.1333255264649778</x:v>
      </x:c>
      <x:c r="J108" s="11" t="n">
        <x:f>Nguon!G109-Nguon!I109</x:f>
        <x:v>1642</x:v>
      </x:c>
      <x:c r="K108" s="12" t="n">
        <x:f>Nguon!N109/Nguon!K109</x:f>
        <x:v>0.029567469662586655</x:v>
      </x:c>
      <x:c r="L108" s="12" t="n">
        <x:f>Nguon!O109/Nguon!K109</x:f>
        <x:v>0.003931073845734808</x:v>
      </x:c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 ht="26" customHeight="1">
      <x:c r="A109" s="2" t="str">
        <x:v>E06000055</x:v>
      </x:c>
      <x:c r="B109" s="2" t="str">
        <x:v>Trung học</x:v>
      </x:c>
      <x:c r="C109" s="2" t="str">
        <x:v>Bedford</x:v>
      </x:c>
      <x:c r="D109" s="12" t="n">
        <x:f>Nguon!F110/Nguon!D110</x:f>
        <x:v>0.2199681782020684</x:v>
      </x:c>
      <x:c r="E109" s="12" t="n">
        <x:f>Nguon!G110/Nguon!E110</x:f>
        <x:v>0.2109337589784517</x:v>
      </x:c>
      <x:c r="F109" s="13" t="n">
        <x:f>(E109-D109)*100</x:f>
        <x:v>-0.9034419223616696</x:v>
      </x:c>
      <x:c r="G109" s="12" t="n">
        <x:f>Nguon!H110/Nguon!D110</x:f>
        <x:v>0.027366746221161496</x:v>
      </x:c>
      <x:c r="H109" s="12" t="n">
        <x:f>Nguon!I110/Nguon!E110</x:f>
        <x:v>0.02905027932960894</x:v>
      </x:c>
      <x:c r="I109" s="13" t="n">
        <x:f>(H109-G109)*100</x:f>
        <x:v>0.1683533108447443</x:v>
      </x:c>
      <x:c r="J109" s="11" t="n">
        <x:f>Nguon!G110-Nguon!I110</x:f>
        <x:v>2279</x:v>
      </x:c>
      <x:c r="K109" s="12" t="n">
        <x:f>Nguon!N110/Nguon!K110</x:f>
        <x:v>0.04111144616143265</x:v>
      </x:c>
      <x:c r="L109" s="12" t="n">
        <x:f>Nguon!O110/Nguon!K110</x:f>
        <x:v>0.016965250522784612</x:v>
      </x:c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 ht="26" customHeight="1">
      <x:c r="A110" s="2" t="str">
        <x:v>E06000056</x:v>
      </x:c>
      <x:c r="B110" s="2" t="str">
        <x:v>Tiểu học</x:v>
      </x:c>
      <x:c r="C110" s="2" t="str">
        <x:v>Central Bedfordshire</x:v>
      </x:c>
      <x:c r="D110" s="12" t="n">
        <x:f>Nguon!F111/Nguon!D111</x:f>
        <x:v>0.13761367371535005</x:v>
      </x:c>
      <x:c r="E110" s="12" t="n">
        <x:f>Nguon!G111/Nguon!E111</x:f>
        <x:v>0.12601470988831381</x:v>
      </x:c>
      <x:c r="F110" s="13" t="n">
        <x:f>(E110-D110)*100</x:f>
        <x:v>-1.1598963827036235</x:v>
      </x:c>
      <x:c r="G110" s="12" t="n">
        <x:f>Nguon!H111/Nguon!D111</x:f>
        <x:v>0.011120850224608306</x:v>
      </x:c>
      <x:c r="H110" s="12" t="n">
        <x:f>Nguon!I111/Nguon!E111</x:f>
        <x:v>0.010569327158812312</x:v>
      </x:c>
      <x:c r="I110" s="13" t="n">
        <x:f>(H110-G110)*100</x:f>
        <x:v>-0.05515230657959936</x:v>
      </x:c>
      <x:c r="J110" s="11" t="n">
        <x:f>Nguon!G111-Nguon!I111</x:f>
        <x:v>2119</x:v>
      </x:c>
      <x:c r="K110" s="12" t="n">
        <x:f>Nguon!N111/Nguon!K111</x:f>
        <x:v>0.028231572229006976</x:v>
      </x:c>
      <x:c r="L110" s="12" t="n">
        <x:f>Nguon!O111/Nguon!K111</x:f>
        <x:v>0.005074886312727451</x:v>
      </x:c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 ht="26" customHeight="1">
      <x:c r="A111" s="2" t="str">
        <x:v>E06000056</x:v>
      </x:c>
      <x:c r="B111" s="2" t="str">
        <x:v>Trung học</x:v>
      </x:c>
      <x:c r="C111" s="2" t="str">
        <x:v>Central Bedfordshire</x:v>
      </x:c>
      <x:c r="D111" s="12" t="n">
        <x:f>Nguon!F112/Nguon!D112</x:f>
        <x:v>0.18537931034482757</x:v>
      </x:c>
      <x:c r="E111" s="12" t="n">
        <x:f>Nguon!G112/Nguon!E112</x:f>
        <x:v>0.18378156248573124</x:v>
      </x:c>
      <x:c r="F111" s="13" t="n">
        <x:f>(E111-D111)*100</x:f>
        <x:v>-0.15977478590963323</x:v>
      </x:c>
      <x:c r="G111" s="12" t="n">
        <x:f>Nguon!H112/Nguon!D112</x:f>
        <x:v>0.024275862068965516</x:v>
      </x:c>
      <x:c r="H111" s="12" t="n">
        <x:f>Nguon!I112/Nguon!E112</x:f>
        <x:v>0.026071868864435414</x:v>
      </x:c>
      <x:c r="I111" s="13" t="n">
        <x:f>(H111-G111)*100</x:f>
        <x:v>0.17960067954698977</x:v>
      </x:c>
      <x:c r="J111" s="11" t="n">
        <x:f>Nguon!G112-Nguon!I112</x:f>
        <x:v>3454</x:v>
      </x:c>
      <x:c r="K111" s="12" t="n">
        <x:f>Nguon!N112/Nguon!K112</x:f>
        <x:v>0.03763248973233069</x:v>
      </x:c>
      <x:c r="L111" s="12" t="n">
        <x:f>Nguon!O112/Nguon!K112</x:f>
        <x:v>0.012533199774391332</x:v>
      </x:c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 ht="26" customHeight="1">
      <x:c r="A112" s="2" t="str">
        <x:v>E06000057</x:v>
      </x:c>
      <x:c r="B112" s="2" t="str">
        <x:v>Tiểu học</x:v>
      </x:c>
      <x:c r="C112" s="2" t="str">
        <x:v>Northumberland</x:v>
      </x:c>
      <x:c r="D112" s="12" t="n">
        <x:f>Nguon!F113/Nguon!D113</x:f>
        <x:v>0.13615826108193918</x:v>
      </x:c>
      <x:c r="E112" s="12" t="n">
        <x:f>Nguon!G113/Nguon!E113</x:f>
        <x:v>0.15608950843727074</x:v>
      </x:c>
      <x:c r="F112" s="13" t="n">
        <x:f>(E112-D112)*100</x:f>
        <x:v>1.9931247355331556</x:v>
      </x:c>
      <x:c r="G112" s="12" t="n">
        <x:f>Nguon!H113/Nguon!D113</x:f>
        <x:v>0.00512883135914031</x:v>
      </x:c>
      <x:c r="H112" s="12" t="n">
        <x:f>Nguon!I113/Nguon!E113</x:f>
        <x:v>0.006786500366837858</x:v>
      </x:c>
      <x:c r="I112" s="13" t="n">
        <x:f>(H112-G112)*100</x:f>
        <x:v>0.1657669007697548</x:v>
      </x:c>
      <x:c r="J112" s="11" t="n">
        <x:f>Nguon!G113-Nguon!I113</x:f>
        <x:v>2442</x:v>
      </x:c>
      <x:c r="K112" s="12" t="n">
        <x:f>Nguon!N113/Nguon!K113</x:f>
        <x:v>0.030550707689191266</x:v>
      </x:c>
      <x:c r="L112" s="12" t="n">
        <x:f>Nguon!O113/Nguon!K113</x:f>
        <x:v>0.0064438676653767865</x:v>
      </x:c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 ht="26" customHeight="1">
      <x:c r="A113" s="2" t="str">
        <x:v>E06000057</x:v>
      </x:c>
      <x:c r="B113" s="2" t="str">
        <x:v>Trung học</x:v>
      </x:c>
      <x:c r="C113" s="2" t="str">
        <x:v>Northumberland</x:v>
      </x:c>
      <x:c r="D113" s="12" t="n">
        <x:f>Nguon!F114/Nguon!D114</x:f>
        <x:v>0.21089000883254533</x:v>
      </x:c>
      <x:c r="E113" s="12" t="n">
        <x:f>Nguon!G114/Nguon!E114</x:f>
        <x:v>0.228873804051526</x:v>
      </x:c>
      <x:c r="F113" s="13" t="n">
        <x:f>(E113-D113)*100</x:f>
        <x:v>1.7983795218980663</x:v>
      </x:c>
      <x:c r="G113" s="12" t="n">
        <x:f>Nguon!H114/Nguon!D114</x:f>
        <x:v>0.03299215462149945</x:v>
      </x:c>
      <x:c r="H113" s="12" t="n">
        <x:f>Nguon!I114/Nguon!E114</x:f>
        <x:v>0.03335293174408039</x:v>
      </x:c>
      <x:c r="I113" s="13" t="n">
        <x:f>(H113-G113)*100</x:f>
        <x:v>0.03607771225809381</x:v>
      </x:c>
      <x:c r="J113" s="11" t="n">
        <x:f>Nguon!G114-Nguon!I114</x:f>
        <x:v>3658</x:v>
      </x:c>
      <x:c r="K113" s="12" t="n">
        <x:f>Nguon!N114/Nguon!K114</x:f>
        <x:v>0.036796359089997434</x:v>
      </x:c>
      <x:c r="L113" s="12" t="n">
        <x:f>Nguon!O114/Nguon!K114</x:f>
        <x:v>0.022375551319323776</x:v>
      </x:c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 ht="26" customHeight="1">
      <x:c r="A114" s="2" t="str">
        <x:v>E06000058</x:v>
      </x:c>
      <x:c r="B114" s="2" t="str">
        <x:v>Tiểu học</x:v>
      </x:c>
      <x:c r="C114" s="2" t="str">
        <x:v>Bournemouth, Christchurch and Poole</x:v>
      </x:c>
      <x:c r="D114" s="12" t="n">
        <x:f>Nguon!F115/Nguon!D115</x:f>
        <x:v>0.12835223482321548</x:v>
      </x:c>
      <x:c r="E114" s="12" t="n">
        <x:f>Nguon!G115/Nguon!E115</x:f>
        <x:v>0.12411963779383518</x:v>
      </x:c>
      <x:c r="F114" s="13" t="n">
        <x:f>(E114-D114)*100</x:f>
        <x:v>-0.42325970293802945</x:v>
      </x:c>
      <x:c r="G114" s="12" t="n">
        <x:f>Nguon!H115/Nguon!D115</x:f>
        <x:v>0.007516121859017123</x:v>
      </x:c>
      <x:c r="H114" s="12" t="n">
        <x:f>Nguon!I115/Nguon!E115</x:f>
        <x:v>0.0077746272752218055</x:v>
      </x:c>
      <x:c r="I114" s="13" t="n">
        <x:f>(H114-G114)*100</x:f>
        <x:v>0.02585054162046827</x:v>
      </x:c>
      <x:c r="J114" s="11" t="n">
        <x:f>Nguon!G115-Nguon!I115</x:f>
        <x:v>2544</x:v>
      </x:c>
      <x:c r="K114" s="12" t="n">
        <x:f>Nguon!N115/Nguon!K115</x:f>
        <x:v>0.028550036405171432</x:v>
      </x:c>
      <x:c r="L114" s="12" t="n">
        <x:f>Nguon!O115/Nguon!K115</x:f>
        <x:v>0.004333030317242214</x:v>
      </x:c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 ht="26" customHeight="1">
      <x:c r="A115" s="2" t="str">
        <x:v>E06000058</x:v>
      </x:c>
      <x:c r="B115" s="2" t="str">
        <x:v>Trung học</x:v>
      </x:c>
      <x:c r="C115" s="2" t="str">
        <x:v>Bournemouth, Christchurch and Poole</x:v>
      </x:c>
      <x:c r="D115" s="12" t="n">
        <x:f>Nguon!F116/Nguon!D116</x:f>
        <x:v>0.2080464425543405</x:v>
      </x:c>
      <x:c r="E115" s="12" t="n">
        <x:f>Nguon!G116/Nguon!E116</x:f>
        <x:v>0.1922119085352049</x:v>
      </x:c>
      <x:c r="F115" s="13" t="n">
        <x:f>(E115-D115)*100</x:f>
        <x:v>-1.5834534019135593</x:v>
      </x:c>
      <x:c r="G115" s="12" t="n">
        <x:f>Nguon!H116/Nguon!D116</x:f>
        <x:v>0.03078169299311462</x:v>
      </x:c>
      <x:c r="H115" s="12" t="n">
        <x:f>Nguon!I116/Nguon!E116</x:f>
        <x:v>0.027620556939098935</x:v>
      </x:c>
      <x:c r="I115" s="13" t="n">
        <x:f>(H115-G115)*100</x:f>
        <x:v>-0.31611360540156863</x:v>
      </x:c>
      <x:c r="J115" s="11" t="n">
        <x:f>Nguon!G116-Nguon!I116</x:f>
        <x:v>3635</x:v>
      </x:c>
      <x:c r="K115" s="12" t="n">
        <x:f>Nguon!N116/Nguon!K116</x:f>
        <x:v>0.0372910957450045</x:v>
      </x:c>
      <x:c r="L115" s="12" t="n">
        <x:f>Nguon!O116/Nguon!K116</x:f>
        <x:v>0.016540834055743907</x:v>
      </x:c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 ht="26" customHeight="1">
      <x:c r="A116" s="2" t="str">
        <x:v>E06000059</x:v>
      </x:c>
      <x:c r="B116" s="2" t="str">
        <x:v>Tiểu học</x:v>
      </x:c>
      <x:c r="C116" s="2" t="str">
        <x:v>Dorset</x:v>
      </x:c>
      <x:c r="D116" s="12" t="n">
        <x:f>Nguon!F117/Nguon!D117</x:f>
        <x:v>0.14818371843398678</x:v>
      </x:c>
      <x:c r="E116" s="12" t="n">
        <x:f>Nguon!G117/Nguon!E117</x:f>
        <x:v>0.1475198876930276</x:v>
      </x:c>
      <x:c r="F116" s="13" t="n">
        <x:f>(E116-D116)*100</x:f>
        <x:v>-0.0663830740959187</x:v>
      </x:c>
      <x:c r="G116" s="12" t="n">
        <x:f>Nguon!H117/Nguon!D117</x:f>
        <x:v>0.00858708547539687</x:v>
      </x:c>
      <x:c r="H116" s="12" t="n">
        <x:f>Nguon!I117/Nguon!E117</x:f>
        <x:v>0.01093823116518484</x:v>
      </x:c>
      <x:c r="I116" s="13" t="n">
        <x:f>(H116-G116)*100</x:f>
        <x:v>0.23511456897879687</x:v>
      </x:c>
      <x:c r="J116" s="11" t="n">
        <x:f>Nguon!G117-Nguon!I117</x:f>
        <x:v>2335</x:v>
      </x:c>
      <x:c r="K116" s="12" t="n">
        <x:f>Nguon!N117/Nguon!K117</x:f>
        <x:v>0.03130237093263003</x:v>
      </x:c>
      <x:c r="L116" s="12" t="n">
        <x:f>Nguon!O117/Nguon!K117</x:f>
        <x:v>0.0055159817042411356</x:v>
      </x:c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 ht="26" customHeight="1">
      <x:c r="A117" s="2" t="str">
        <x:v>E06000059</x:v>
      </x:c>
      <x:c r="B117" s="2" t="str">
        <x:v>Trung học</x:v>
      </x:c>
      <x:c r="C117" s="2" t="str">
        <x:v>Dorset</x:v>
      </x:c>
      <x:c r="D117" s="12" t="n">
        <x:f>Nguon!F118/Nguon!D118</x:f>
        <x:v>0.23185686830786126</x:v>
      </x:c>
      <x:c r="E117" s="12" t="n">
        <x:f>Nguon!G118/Nguon!E118</x:f>
        <x:v>0.23071548351034096</x:v>
      </x:c>
      <x:c r="F117" s="13" t="n">
        <x:f>(E117-D117)*100</x:f>
        <x:v>-0.11413847975202951</x:v>
      </x:c>
      <x:c r="G117" s="12" t="n">
        <x:f>Nguon!H118/Nguon!D118</x:f>
        <x:v>0.039443580122632015</x:v>
      </x:c>
      <x:c r="H117" s="12" t="n">
        <x:f>Nguon!I118/Nguon!E118</x:f>
        <x:v>0.03428358487050494</x:v>
      </x:c>
      <x:c r="I117" s="13" t="n">
        <x:f>(H117-G117)*100</x:f>
        <x:v>-0.5159995252127076</x:v>
      </x:c>
      <x:c r="J117" s="11" t="n">
        <x:f>Nguon!G118-Nguon!I118</x:f>
        <x:v>4217</x:v>
      </x:c>
      <x:c r="K117" s="12" t="n">
        <x:f>Nguon!N118/Nguon!K118</x:f>
        <x:v>0.04533541047520813</x:v>
      </x:c>
      <x:c r="L117" s="12" t="n">
        <x:f>Nguon!O118/Nguon!K118</x:f>
        <x:v>0.01968135505983366</x:v>
      </x:c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 ht="26" customHeight="1">
      <x:c r="A118" s="2" t="str">
        <x:v>E06000060</x:v>
      </x:c>
      <x:c r="B118" s="2" t="str">
        <x:v>Tiểu học</x:v>
      </x:c>
      <x:c r="C118" s="2" t="str">
        <x:v>Buckinghamshire</x:v>
      </x:c>
      <x:c r="D118" s="12" t="n">
        <x:f>Nguon!F119/Nguon!D119</x:f>
        <x:v>0.13099553454163385</x:v>
      </x:c>
      <x:c r="E118" s="12" t="n">
        <x:f>Nguon!G119/Nguon!E119</x:f>
        <x:v>0.1366558631316083</x:v>
      </x:c>
      <x:c r="F118" s="13" t="n">
        <x:f>(E118-D118)*100</x:f>
        <x:v>0.566032858997445</x:v>
      </x:c>
      <x:c r="G118" s="12" t="n">
        <x:f>Nguon!H119/Nguon!D119</x:f>
        <x:v>0.010139217231415813</x:v>
      </x:c>
      <x:c r="H118" s="12" t="n">
        <x:f>Nguon!I119/Nguon!E119</x:f>
        <x:v>0.010546729716805696</x:v>
      </x:c>
      <x:c r="I118" s="13" t="n">
        <x:f>(H118-G118)*100</x:f>
        <x:v>0.04075124853898833</x:v>
      </x:c>
      <x:c r="J118" s="11" t="n">
        <x:f>Nguon!G119-Nguon!I119</x:f>
        <x:v>4747</x:v>
      </x:c>
      <x:c r="K118" s="12" t="n">
        <x:f>Nguon!N119/Nguon!K119</x:f>
        <x:v>0.03158472734734081</x:v>
      </x:c>
      <x:c r="L118" s="12" t="n">
        <x:f>Nguon!O119/Nguon!K119</x:f>
        <x:v>0.0044594408435783646</x:v>
      </x:c>
      <x:c r="M118" s="2"/>
      <x:c r="N118" s="2"/>
      <x:c r="O118" s="2"/>
      <x:c r="P118" s="2"/>
      <x:c r="Q118" s="2"/>
      <x:c r="R118" s="2"/>
      <x:c r="S118" s="2"/>
      <x:c r="T118" s="2"/>
      <x:c r="U118" s="2"/>
    </x:row>
    <x:row r="119" ht="26" customHeight="1">
      <x:c r="A119" s="2" t="str">
        <x:v>E06000060</x:v>
      </x:c>
      <x:c r="B119" s="2" t="str">
        <x:v>Trung học</x:v>
      </x:c>
      <x:c r="C119" s="2" t="str">
        <x:v>Buckinghamshire</x:v>
      </x:c>
      <x:c r="D119" s="12" t="n">
        <x:f>Nguon!F120/Nguon!D120</x:f>
        <x:v>0.18700292101686092</x:v>
      </x:c>
      <x:c r="E119" s="12" t="n">
        <x:f>Nguon!G120/Nguon!E120</x:f>
        <x:v>0.19244924952556214</x:v>
      </x:c>
      <x:c r="F119" s="13" t="n">
        <x:f>(E119-D119)*100</x:f>
        <x:v>0.544632850870122</x:v>
      </x:c>
      <x:c r="G119" s="12" t="n">
        <x:f>Nguon!H120/Nguon!D120</x:f>
        <x:v>0.025595048731815947</x:v>
      </x:c>
      <x:c r="H119" s="12" t="n">
        <x:f>Nguon!I120/Nguon!E120</x:f>
        <x:v>0.025044568405313702</x:v>
      </x:c>
      <x:c r="I119" s="13" t="n">
        <x:f>(H119-G119)*100</x:f>
        <x:v>-0.05504803265022444</x:v>
      </x:c>
      <x:c r="J119" s="11" t="n">
        <x:f>Nguon!G120-Nguon!I120</x:f>
        <x:v>5822</x:v>
      </x:c>
      <x:c r="K119" s="12" t="n">
        <x:f>Nguon!N120/Nguon!K120</x:f>
        <x:v>0.044999475418732546</x:v>
      </x:c>
      <x:c r="L119" s="12" t="n">
        <x:f>Nguon!O120/Nguon!K120</x:f>
        <x:v>0.011185686718322107</x:v>
      </x:c>
      <x:c r="M119" s="2"/>
      <x:c r="N119" s="2"/>
      <x:c r="O119" s="2"/>
      <x:c r="P119" s="2"/>
      <x:c r="Q119" s="2"/>
      <x:c r="R119" s="2"/>
      <x:c r="S119" s="2"/>
      <x:c r="T119" s="2"/>
      <x:c r="U119" s="2"/>
    </x:row>
    <x:row r="120" ht="26" customHeight="1">
      <x:c r="A120" s="2" t="str">
        <x:v>E06000061</x:v>
      </x:c>
      <x:c r="B120" s="2" t="str">
        <x:v>Tiểu học</x:v>
      </x:c>
      <x:c r="C120" s="2" t="str">
        <x:v>North Northamptonshire</x:v>
      </x:c>
      <x:c r="D120" s="12" t="n">
        <x:f>Nguon!F121/Nguon!D121</x:f>
        <x:v>0.1459087195050776</x:v>
      </x:c>
      <x:c r="E120" s="12" t="n">
        <x:f>Nguon!G121/Nguon!E121</x:f>
        <x:v>0.1449980384464496</x:v>
      </x:c>
      <x:c r="F120" s="13" t="n">
        <x:f>(E120-D120)*100</x:f>
        <x:v>-0.09106810586280156</x:v>
      </x:c>
      <x:c r="G120" s="12" t="n">
        <x:f>Nguon!H121/Nguon!D121</x:f>
        <x:v>0.00999961091008132</x:v>
      </x:c>
      <x:c r="H120" s="12" t="n">
        <x:f>Nguon!I121/Nguon!E121</x:f>
        <x:v>0.011808552373479796</x:v>
      </x:c>
      <x:c r="I120" s="13" t="n">
        <x:f>(H120-G120)*100</x:f>
        <x:v>0.18089414633984754</x:v>
      </x:c>
      <x:c r="J120" s="11" t="n">
        <x:f>Nguon!G121-Nguon!I121</x:f>
        <x:v>3395</x:v>
      </x:c>
      <x:c r="K120" s="12" t="n">
        <x:f>Nguon!N121/Nguon!K121</x:f>
        <x:v>0.03100536885367977</x:v>
      </x:c>
      <x:c r="L120" s="12" t="n">
        <x:f>Nguon!O121/Nguon!K121</x:f>
        <x:v>0.007016658451996446</x:v>
      </x:c>
      <x:c r="M120" s="2"/>
      <x:c r="N120" s="2"/>
      <x:c r="O120" s="2"/>
      <x:c r="P120" s="2"/>
      <x:c r="Q120" s="2"/>
      <x:c r="R120" s="2"/>
      <x:c r="S120" s="2"/>
      <x:c r="T120" s="2"/>
      <x:c r="U120" s="2"/>
    </x:row>
    <x:row r="121" ht="26" customHeight="1">
      <x:c r="A121" s="2" t="str">
        <x:v>E06000061</x:v>
      </x:c>
      <x:c r="B121" s="2" t="str">
        <x:v>Trung học</x:v>
      </x:c>
      <x:c r="C121" s="2" t="str">
        <x:v>North Northamptonshire</x:v>
      </x:c>
      <x:c r="D121" s="12" t="n">
        <x:f>Nguon!F122/Nguon!D122</x:f>
        <x:v>0.21816595490655277</x:v>
      </x:c>
      <x:c r="E121" s="12" t="n">
        <x:f>Nguon!G122/Nguon!E122</x:f>
        <x:v>0.23327678694236853</x:v>
      </x:c>
      <x:c r="F121" s="13" t="n">
        <x:f>(E121-D121)*100</x:f>
        <x:v>1.5110832035815758</x:v>
      </x:c>
      <x:c r="G121" s="12" t="n">
        <x:f>Nguon!H122/Nguon!D122</x:f>
        <x:v>0.03664416586306654</x:v>
      </x:c>
      <x:c r="H121" s="12" t="n">
        <x:f>Nguon!I122/Nguon!E122</x:f>
        <x:v>0.03745816331209023</x:v>
      </x:c>
      <x:c r="I121" s="13" t="n">
        <x:f>(H121-G121)*100</x:f>
        <x:v>0.08139974490236901</x:v>
      </x:c>
      <x:c r="J121" s="11" t="n">
        <x:f>Nguon!G122-Nguon!I122</x:f>
        <x:v>4271</x:v>
      </x:c>
      <x:c r="K121" s="12" t="n">
        <x:f>Nguon!N122/Nguon!K122</x:f>
        <x:v>0.03963847394289356</x:v>
      </x:c>
      <x:c r="L121" s="12" t="n">
        <x:f>Nguon!O122/Nguon!K122</x:f>
        <x:v>0.023519038754104278</x:v>
      </x:c>
      <x:c r="M121" s="2"/>
      <x:c r="N121" s="2"/>
      <x:c r="O121" s="2"/>
      <x:c r="P121" s="2"/>
      <x:c r="Q121" s="2"/>
      <x:c r="R121" s="2"/>
      <x:c r="S121" s="2"/>
      <x:c r="T121" s="2"/>
      <x:c r="U121" s="2"/>
    </x:row>
    <x:row r="122" ht="26" customHeight="1">
      <x:c r="A122" s="2" t="str">
        <x:v>E06000062</x:v>
      </x:c>
      <x:c r="B122" s="2" t="str">
        <x:v>Tiểu học</x:v>
      </x:c>
      <x:c r="C122" s="2" t="str">
        <x:v>West Northamptonshire</x:v>
      </x:c>
      <x:c r="D122" s="12" t="n">
        <x:f>Nguon!F123/Nguon!D123</x:f>
        <x:v>0.13268393231157952</x:v>
      </x:c>
      <x:c r="E122" s="12" t="n">
        <x:f>Nguon!G123/Nguon!E123</x:f>
        <x:v>0.12700670595407437</x:v>
      </x:c>
      <x:c r="F122" s="13" t="n">
        <x:f>(E122-D122)*100</x:f>
        <x:v>-0.5677226357505144</x:v>
      </x:c>
      <x:c r="G122" s="12" t="n">
        <x:f>Nguon!H123/Nguon!D123</x:f>
        <x:v>0.010106718973370125</x:v>
      </x:c>
      <x:c r="H122" s="12" t="n">
        <x:f>Nguon!I123/Nguon!E123</x:f>
        <x:v>0.01026214184108921</x:v>
      </x:c>
      <x:c r="I122" s="13" t="n">
        <x:f>(H122-G122)*100</x:f>
        <x:v>0.015542286771908463</x:v>
      </x:c>
      <x:c r="J122" s="11" t="n">
        <x:f>Nguon!G123-Nguon!I123</x:f>
        <x:v>3447</x:v>
      </x:c>
      <x:c r="K122" s="12" t="n">
        <x:f>Nguon!N123/Nguon!K123</x:f>
        <x:v>0.028774500806630795</x:v>
      </x:c>
      <x:c r="L122" s="12" t="n">
        <x:f>Nguon!O123/Nguon!K123</x:f>
        <x:v>0.005507549484625713</x:v>
      </x:c>
      <x:c r="M122" s="2"/>
      <x:c r="N122" s="2"/>
      <x:c r="O122" s="2"/>
      <x:c r="P122" s="2"/>
      <x:c r="Q122" s="2"/>
      <x:c r="R122" s="2"/>
      <x:c r="S122" s="2"/>
      <x:c r="T122" s="2"/>
      <x:c r="U122" s="2"/>
    </x:row>
    <x:row r="123" ht="26" customHeight="1">
      <x:c r="A123" s="2" t="str">
        <x:v>E06000062</x:v>
      </x:c>
      <x:c r="B123" s="2" t="str">
        <x:v>Trung học</x:v>
      </x:c>
      <x:c r="C123" s="2" t="str">
        <x:v>West Northamptonshire</x:v>
      </x:c>
      <x:c r="D123" s="12" t="n">
        <x:f>Nguon!F124/Nguon!D124</x:f>
        <x:v>0.20308276718533128</x:v>
      </x:c>
      <x:c r="E123" s="12" t="n">
        <x:f>Nguon!G124/Nguon!E124</x:f>
        <x:v>0.20538856304985337</x:v>
      </x:c>
      <x:c r="F123" s="13" t="n">
        <x:f>(E123-D123)*100</x:f>
        <x:v>0.23057958645220922</x:v>
      </x:c>
      <x:c r="G123" s="12" t="n">
        <x:f>Nguon!H124/Nguon!D124</x:f>
        <x:v>0.034699393673752646</x:v>
      </x:c>
      <x:c r="H123" s="12" t="n">
        <x:f>Nguon!I124/Nguon!E124</x:f>
        <x:v>0.034530791788856305</x:v>
      </x:c>
      <x:c r="I123" s="13" t="n">
        <x:f>(H123-G123)*100</x:f>
        <x:v>-0.01686018848963411</x:v>
      </x:c>
      <x:c r="J123" s="11" t="n">
        <x:f>Nguon!G124-Nguon!I124</x:f>
        <x:v>4661</x:v>
      </x:c>
      <x:c r="K123" s="12" t="n">
        <x:f>Nguon!N124/Nguon!K124</x:f>
        <x:v>0.03913366515975017</x:v>
      </x:c>
      <x:c r="L123" s="12" t="n">
        <x:f>Nguon!O124/Nguon!K124</x:f>
        <x:v>0.021552230043025856</x:v>
      </x:c>
      <x:c r="M123" s="2"/>
      <x:c r="N123" s="2"/>
      <x:c r="O123" s="2"/>
      <x:c r="P123" s="2"/>
      <x:c r="Q123" s="2"/>
      <x:c r="R123" s="2"/>
      <x:c r="S123" s="2"/>
      <x:c r="T123" s="2"/>
      <x:c r="U123" s="2"/>
    </x:row>
    <x:row r="124" ht="26" customHeight="1">
      <x:c r="A124" s="2" t="str">
        <x:v>E06000063</x:v>
      </x:c>
      <x:c r="B124" s="2" t="str">
        <x:v>Tiểu học</x:v>
      </x:c>
      <x:c r="C124" s="2" t="str">
        <x:v>Cumberland</x:v>
      </x:c>
      <x:c r="D124" s="12" t="n">
        <x:f>Nguon!F125/Nguon!D125</x:f>
        <x:v>0.13684758708482814</x:v>
      </x:c>
      <x:c r="E124" s="12" t="n">
        <x:f>Nguon!G125/Nguon!E125</x:f>
        <x:v>0.13491922598970355</x:v>
      </x:c>
      <x:c r="F124" s="13" t="n">
        <x:f>(E124-D124)*100</x:f>
        <x:v>-0.19283610951245922</x:v>
      </x:c>
      <x:c r="G124" s="12" t="n">
        <x:f>Nguon!H125/Nguon!D125</x:f>
        <x:v>0.004281911815762065</x:v>
      </x:c>
      <x:c r="H124" s="12" t="n">
        <x:f>Nguon!I125/Nguon!E125</x:f>
        <x:v>0.005444109118882774</x:v>
      </x:c>
      <x:c r="I124" s="13" t="n">
        <x:f>(H124-G124)*100</x:f>
        <x:v>0.11621973031207093</x:v>
      </x:c>
      <x:c r="J124" s="11" t="n">
        <x:f>Nguon!G125-Nguon!I125</x:f>
        <x:v>2188</x:v>
      </x:c>
      <x:c r="K124" s="12" t="n">
        <x:f>Nguon!N125/Nguon!K125</x:f>
        <x:v>0.030548620935060864</x:v>
      </x:c>
      <x:c r="L124" s="12" t="n">
        <x:f>Nguon!O125/Nguon!K125</x:f>
        <x:v>0.0035252234817602325</x:v>
      </x:c>
      <x:c r="M124" s="2"/>
      <x:c r="N124" s="2"/>
      <x:c r="O124" s="2"/>
      <x:c r="P124" s="2"/>
      <x:c r="Q124" s="2"/>
      <x:c r="R124" s="2"/>
      <x:c r="S124" s="2"/>
      <x:c r="T124" s="2"/>
      <x:c r="U124" s="2"/>
    </x:row>
    <x:row r="125" ht="26" customHeight="1">
      <x:c r="A125" s="2" t="str">
        <x:v>E06000063</x:v>
      </x:c>
      <x:c r="B125" s="2" t="str">
        <x:v>Trung học</x:v>
      </x:c>
      <x:c r="C125" s="2" t="str">
        <x:v>Cumberland</x:v>
      </x:c>
      <x:c r="D125" s="12" t="n">
        <x:f>Nguon!F126/Nguon!D126</x:f>
        <x:v>0.22372003453084535</x:v>
      </x:c>
      <x:c r="E125" s="12" t="n">
        <x:f>Nguon!G126/Nguon!E126</x:f>
        <x:v>0.2407000732015705</x:v>
      </x:c>
      <x:c r="F125" s="13" t="n">
        <x:f>(E125-D125)*100</x:f>
        <x:v>1.6980038670725146</x:v>
      </x:c>
      <x:c r="G125" s="12" t="n">
        <x:f>Nguon!H126/Nguon!D126</x:f>
        <x:v>0.0329371140181951</x:v>
      </x:c>
      <x:c r="H125" s="12" t="n">
        <x:f>Nguon!I126/Nguon!E126</x:f>
        <x:v>0.03353962866839689</x:v>
      </x:c>
      <x:c r="I125" s="13" t="n">
        <x:f>(H125-G125)*100</x:f>
        <x:v>0.06025146502017867</x:v>
      </x:c>
      <x:c r="J125" s="11" t="n">
        <x:f>Nguon!G126-Nguon!I126</x:f>
        <x:v>3113</x:v>
      </x:c>
      <x:c r="K125" s="12" t="n">
        <x:f>Nguon!N126/Nguon!K126</x:f>
        <x:v>0.04449015925297178</x:v>
      </x:c>
      <x:c r="L125" s="12" t="n">
        <x:f>Nguon!O126/Nguon!K126</x:f>
        <x:v>0.021104167724154528</x:v>
      </x:c>
      <x:c r="M125" s="2"/>
      <x:c r="N125" s="2"/>
      <x:c r="O125" s="2"/>
      <x:c r="P125" s="2"/>
      <x:c r="Q125" s="2"/>
      <x:c r="R125" s="2"/>
      <x:c r="S125" s="2"/>
      <x:c r="T125" s="2"/>
      <x:c r="U125" s="2"/>
    </x:row>
    <x:row r="126" ht="26" customHeight="1">
      <x:c r="A126" s="2" t="str">
        <x:v>E06000064</x:v>
      </x:c>
      <x:c r="B126" s="2" t="str">
        <x:v>Tiểu học</x:v>
      </x:c>
      <x:c r="C126" s="2" t="str">
        <x:v>Westmorland and Furness</x:v>
      </x:c>
      <x:c r="D126" s="12" t="n">
        <x:f>Nguon!F127/Nguon!D127</x:f>
        <x:v>0.11321354746382573</x:v>
      </x:c>
      <x:c r="E126" s="12" t="n">
        <x:f>Nguon!G127/Nguon!E127</x:f>
        <x:v>0.11982393218128465</x:v>
      </x:c>
      <x:c r="F126" s="13" t="n">
        <x:f>(E126-D126)*100</x:f>
        <x:v>0.6610384717458923</x:v>
      </x:c>
      <x:c r="G126" s="12" t="n">
        <x:f>Nguon!H127/Nguon!D127</x:f>
        <x:v>0.0031801558276355543</x:v>
      </x:c>
      <x:c r="H126" s="12" t="n">
        <x:f>Nguon!I127/Nguon!E127</x:f>
        <x:v>0.0041571568307792635</x:v>
      </x:c>
      <x:c r="I126" s="13" t="n">
        <x:f>(H126-G126)*100</x:f>
        <x:v>0.09770010031437092</x:v>
      </x:c>
      <x:c r="J126" s="11" t="n">
        <x:f>Nguon!G127-Nguon!I127</x:f>
        <x:v>1419</x:v>
      </x:c>
      <x:c r="K126" s="12" t="n">
        <x:f>Nguon!N127/Nguon!K127</x:f>
        <x:v>0.02886622400316983</x:v>
      </x:c>
      <x:c r="L126" s="12" t="n">
        <x:f>Nguon!O127/Nguon!K127</x:f>
        <x:v>0.002453438873211933</x:v>
      </x:c>
      <x:c r="M126" s="2"/>
      <x:c r="N126" s="2"/>
      <x:c r="O126" s="2"/>
      <x:c r="P126" s="2"/>
      <x:c r="Q126" s="2"/>
      <x:c r="R126" s="2"/>
      <x:c r="S126" s="2"/>
      <x:c r="T126" s="2"/>
      <x:c r="U126" s="2"/>
    </x:row>
    <x:row r="127" ht="26" customHeight="1">
      <x:c r="A127" s="2" t="str">
        <x:v>E06000064</x:v>
      </x:c>
      <x:c r="B127" s="2" t="str">
        <x:v>Trung học</x:v>
      </x:c>
      <x:c r="C127" s="2" t="str">
        <x:v>Westmorland and Furness</x:v>
      </x:c>
      <x:c r="D127" s="12" t="n">
        <x:f>Nguon!F128/Nguon!D128</x:f>
        <x:v>0.20680607458058362</x:v>
      </x:c>
      <x:c r="E127" s="12" t="n">
        <x:f>Nguon!G128/Nguon!E128</x:f>
        <x:v>0.22890492015887168</x:v>
      </x:c>
      <x:c r="F127" s="13" t="n">
        <x:f>(E127-D127)*100</x:f>
        <x:v>2.209884557828806</x:v>
      </x:c>
      <x:c r="G127" s="12" t="n">
        <x:f>Nguon!H128/Nguon!D128</x:f>
        <x:v>0.027272004452572156</x:v>
      </x:c>
      <x:c r="H127" s="12" t="n">
        <x:f>Nguon!I128/Nguon!E128</x:f>
        <x:v>0.029828969765745318</x:v>
      </x:c>
      <x:c r="I127" s="13" t="n">
        <x:f>(H127-G127)*100</x:f>
        <x:v>0.25569653131731623</x:v>
      </x:c>
      <x:c r="J127" s="11" t="n">
        <x:f>Nguon!G128-Nguon!I128</x:f>
        <x:v>2456</x:v>
      </x:c>
      <x:c r="K127" s="12" t="n">
        <x:f>Nguon!N128/Nguon!K128</x:f>
        <x:v>0.048581214736599695</x:v>
      </x:c>
      <x:c r="L127" s="12" t="n">
        <x:f>Nguon!O128/Nguon!K128</x:f>
        <x:v>0.013794008179361633</x:v>
      </x:c>
      <x:c r="M127" s="2"/>
      <x:c r="N127" s="2"/>
      <x:c r="O127" s="2"/>
      <x:c r="P127" s="2"/>
      <x:c r="Q127" s="2"/>
      <x:c r="R127" s="2"/>
      <x:c r="S127" s="2"/>
      <x:c r="T127" s="2"/>
      <x:c r="U127" s="2"/>
    </x:row>
    <x:row r="128" ht="26" customHeight="1">
      <x:c r="A128" s="2" t="str">
        <x:v>E06000065</x:v>
      </x:c>
      <x:c r="B128" s="2" t="str">
        <x:v>Tiểu học</x:v>
      </x:c>
      <x:c r="C128" s="2" t="str">
        <x:v>North Yorkshire</x:v>
      </x:c>
      <x:c r="D128" s="12" t="n">
        <x:f>Nguon!F129/Nguon!D129</x:f>
        <x:v>0.12384508990318119</x:v>
      </x:c>
      <x:c r="E128" s="12" t="n">
        <x:f>Nguon!G129/Nguon!E129</x:f>
        <x:v>0.1314211726292679</x:v>
      </x:c>
      <x:c r="F128" s="13" t="n">
        <x:f>(E128-D128)*100</x:f>
        <x:v>0.7576082726086703</x:v>
      </x:c>
      <x:c r="G128" s="12" t="n">
        <x:f>Nguon!H129/Nguon!D129</x:f>
        <x:v>0.007330567081604426</x:v>
      </x:c>
      <x:c r="H128" s="12" t="n">
        <x:f>Nguon!I129/Nguon!E129</x:f>
        <x:v>0.009879809722183129</x:v>
      </x:c>
      <x:c r="I128" s="13" t="n">
        <x:f>(H128-G128)*100</x:f>
        <x:v>0.25492426405787033</x:v>
      </x:c>
      <x:c r="J128" s="11" t="n">
        <x:f>Nguon!G129-Nguon!I129</x:f>
        <x:v>4318</x:v>
      </x:c>
      <x:c r="K128" s="12" t="n">
        <x:f>Nguon!N129/Nguon!K129</x:f>
        <x:v>0.028783673182057</x:v>
      </x:c>
      <x:c r="L128" s="12" t="n">
        <x:f>Nguon!O129/Nguon!K129</x:f>
        <x:v>0.004198451168584069</x:v>
      </x:c>
      <x:c r="M128" s="2"/>
      <x:c r="N128" s="2"/>
      <x:c r="O128" s="2"/>
      <x:c r="P128" s="2"/>
      <x:c r="Q128" s="2"/>
      <x:c r="R128" s="2"/>
      <x:c r="S128" s="2"/>
      <x:c r="T128" s="2"/>
      <x:c r="U128" s="2"/>
    </x:row>
    <x:row r="129" ht="26" customHeight="1">
      <x:c r="A129" s="2" t="str">
        <x:v>E06000065</x:v>
      </x:c>
      <x:c r="B129" s="2" t="str">
        <x:v>Trung học</x:v>
      </x:c>
      <x:c r="C129" s="2" t="str">
        <x:v>North Yorkshire</x:v>
      </x:c>
      <x:c r="D129" s="12" t="n">
        <x:f>Nguon!F130/Nguon!D130</x:f>
        <x:v>0.2182994908287835</x:v>
      </x:c>
      <x:c r="E129" s="12" t="n">
        <x:f>Nguon!G130/Nguon!E130</x:f>
        <x:v>0.22306444569218292</x:v>
      </x:c>
      <x:c r="F129" s="13" t="n">
        <x:f>(E129-D129)*100</x:f>
        <x:v>0.4764954863399423</x:v>
      </x:c>
      <x:c r="G129" s="12" t="n">
        <x:f>Nguon!H130/Nguon!D130</x:f>
        <x:v>0.036316790380958225</x:v>
      </x:c>
      <x:c r="H129" s="12" t="n">
        <x:f>Nguon!I130/Nguon!E130</x:f>
        <x:v>0.03474951650134132</x:v>
      </x:c>
      <x:c r="I129" s="13" t="n">
        <x:f>(H129-G129)*100</x:f>
        <x:v>-0.1567273879616908</x:v>
      </x:c>
      <x:c r="J129" s="11" t="n">
        <x:f>Nguon!G130-Nguon!I130</x:f>
        <x:v>6037</x:v>
      </x:c>
      <x:c r="K129" s="12" t="n">
        <x:f>Nguon!N130/Nguon!K130</x:f>
        <x:v>0.043576597308176895</x:v>
      </x:c>
      <x:c r="L129" s="12" t="n">
        <x:f>Nguon!O130/Nguon!K130</x:f>
        <x:v>0.017679252721735702</x:v>
      </x:c>
      <x:c r="M129" s="2"/>
      <x:c r="N129" s="2"/>
      <x:c r="O129" s="2"/>
      <x:c r="P129" s="2"/>
      <x:c r="Q129" s="2"/>
      <x:c r="R129" s="2"/>
      <x:c r="S129" s="2"/>
      <x:c r="T129" s="2"/>
      <x:c r="U129" s="2"/>
    </x:row>
    <x:row r="130" ht="26" customHeight="1">
      <x:c r="A130" s="2" t="str">
        <x:v>E06000066</x:v>
      </x:c>
      <x:c r="B130" s="2" t="str">
        <x:v>Tiểu học</x:v>
      </x:c>
      <x:c r="C130" s="2" t="str">
        <x:v>Somerset</x:v>
      </x:c>
      <x:c r="D130" s="12" t="n">
        <x:f>Nguon!F131/Nguon!D131</x:f>
        <x:v>0.14680876905325804</x:v>
      </x:c>
      <x:c r="E130" s="12" t="n">
        <x:f>Nguon!G131/Nguon!E131</x:f>
        <x:v>0.1366993545183714</x:v>
      </x:c>
      <x:c r="F130" s="13" t="n">
        <x:f>(E130-D130)*100</x:f>
        <x:v>-1.0109414534886647</x:v>
      </x:c>
      <x:c r="G130" s="12" t="n">
        <x:f>Nguon!H131/Nguon!D131</x:f>
        <x:v>0.009716402501973644</x:v>
      </x:c>
      <x:c r="H130" s="12" t="n">
        <x:f>Nguon!I131/Nguon!E131</x:f>
        <x:v>0.010458043694141012</x:v>
      </x:c>
      <x:c r="I130" s="13" t="n">
        <x:f>(H130-G130)*100</x:f>
        <x:v>0.07416411921673682</x:v>
      </x:c>
      <x:c r="J130" s="11" t="n">
        <x:f>Nguon!G131-Nguon!I131</x:f>
        <x:v>4068</x:v>
      </x:c>
      <x:c r="K130" s="12" t="n">
        <x:f>Nguon!N131/Nguon!K131</x:f>
        <x:v>0.03040483438976779</x:v>
      </x:c>
      <x:c r="L130" s="12" t="n">
        <x:f>Nguon!O131/Nguon!K131</x:f>
        <x:v>0.0052498562436242464</x:v>
      </x:c>
      <x:c r="M130" s="2"/>
      <x:c r="N130" s="2"/>
      <x:c r="O130" s="2"/>
      <x:c r="P130" s="2"/>
      <x:c r="Q130" s="2"/>
      <x:c r="R130" s="2"/>
      <x:c r="S130" s="2"/>
      <x:c r="T130" s="2"/>
      <x:c r="U130" s="2"/>
    </x:row>
    <x:row r="131" ht="26" customHeight="1">
      <x:c r="A131" s="2" t="str">
        <x:v>E06000066</x:v>
      </x:c>
      <x:c r="B131" s="2" t="str">
        <x:v>Trung học</x:v>
      </x:c>
      <x:c r="C131" s="2" t="str">
        <x:v>Somerset</x:v>
      </x:c>
      <x:c r="D131" s="12" t="n">
        <x:f>Nguon!F132/Nguon!D132</x:f>
        <x:v>0.23480691230103276</x:v>
      </x:c>
      <x:c r="E131" s="12" t="n">
        <x:f>Nguon!G132/Nguon!E132</x:f>
        <x:v>0.2426037529105602</x:v>
      </x:c>
      <x:c r="F131" s="13" t="n">
        <x:f>(E131-D131)*100</x:f>
        <x:v>0.7796840609527428</x:v>
      </x:c>
      <x:c r="G131" s="12" t="n">
        <x:f>Nguon!H132/Nguon!D132</x:f>
        <x:v>0.03807219059954327</x:v>
      </x:c>
      <x:c r="H131" s="12" t="n">
        <x:f>Nguon!I132/Nguon!E132</x:f>
        <x:v>0.04132995480071223</x:v>
      </x:c>
      <x:c r="I131" s="13" t="n">
        <x:f>(H131-G131)*100</x:f>
        <x:v>0.325776420116896</x:v>
      </x:c>
      <x:c r="J131" s="11" t="n">
        <x:f>Nguon!G132-Nguon!I132</x:f>
        <x:v>5878</x:v>
      </x:c>
      <x:c r="K131" s="12" t="n">
        <x:f>Nguon!N132/Nguon!K132</x:f>
        <x:v>0.04666349958836273</x:v>
      </x:c>
      <x:c r="L131" s="12" t="n">
        <x:f>Nguon!O132/Nguon!K132</x:f>
        <x:v>0.02307531594093316</x:v>
      </x:c>
      <x:c r="M131" s="2"/>
      <x:c r="N131" s="2"/>
      <x:c r="O131" s="2"/>
      <x:c r="P131" s="2"/>
      <x:c r="Q131" s="2"/>
      <x:c r="R131" s="2"/>
      <x:c r="S131" s="2"/>
      <x:c r="T131" s="2"/>
      <x:c r="U131" s="2"/>
    </x:row>
    <x:row r="132" ht="26" customHeight="1">
      <x:c r="A132" s="2" t="str">
        <x:v>E08000001</x:v>
      </x:c>
      <x:c r="B132" s="2" t="str">
        <x:v>Tiểu học</x:v>
      </x:c>
      <x:c r="C132" s="2" t="str">
        <x:v>Bolton</x:v>
      </x:c>
      <x:c r="D132" s="12" t="n">
        <x:f>Nguon!F133/Nguon!D133</x:f>
        <x:v>0.13981206524834236</x:v>
      </x:c>
      <x:c r="E132" s="12" t="n">
        <x:f>Nguon!G133/Nguon!E133</x:f>
        <x:v>0.1544562551103843</x:v>
      </x:c>
      <x:c r="F132" s="13" t="n">
        <x:f>(E132-D132)*100</x:f>
        <x:v>1.464418986204194</x:v>
      </x:c>
      <x:c r="G132" s="12" t="n">
        <x:f>Nguon!H133/Nguon!D133</x:f>
        <x:v>0.0072000976284424196</x:v>
      </x:c>
      <x:c r="H132" s="12" t="n">
        <x:f>Nguon!I133/Nguon!E133</x:f>
        <x:v>0.008912510220768602</x:v>
      </x:c>
      <x:c r="I132" s="13" t="n">
        <x:f>(H132-G132)*100</x:f>
        <x:v>0.1712412592326182</x:v>
      </x:c>
      <x:c r="J132" s="11" t="n">
        <x:f>Nguon!G133-Nguon!I133</x:f>
        <x:v>3560</x:v>
      </x:c>
      <x:c r="K132" s="12" t="n">
        <x:f>Nguon!N133/Nguon!K133</x:f>
        <x:v>0.03079846621595647</x:v>
      </x:c>
      <x:c r="L132" s="12" t="n">
        <x:f>Nguon!O133/Nguon!K133</x:f>
        <x:v>0.005494357324863057</x:v>
      </x:c>
      <x:c r="M132" s="2"/>
      <x:c r="N132" s="2"/>
      <x:c r="O132" s="2"/>
      <x:c r="P132" s="2"/>
      <x:c r="Q132" s="2"/>
      <x:c r="R132" s="2"/>
      <x:c r="S132" s="2"/>
      <x:c r="T132" s="2"/>
      <x:c r="U132" s="2"/>
    </x:row>
    <x:row r="133" ht="26" customHeight="1">
      <x:c r="A133" s="2" t="str">
        <x:v>E08000001</x:v>
      </x:c>
      <x:c r="B133" s="2" t="str">
        <x:v>Trung học</x:v>
      </x:c>
      <x:c r="C133" s="2" t="str">
        <x:v>Bolton</x:v>
      </x:c>
      <x:c r="D133" s="12" t="n">
        <x:f>Nguon!F134/Nguon!D134</x:f>
        <x:v>0.19623024102493203</x:v>
      </x:c>
      <x:c r="E133" s="12" t="n">
        <x:f>Nguon!G134/Nguon!E134</x:f>
        <x:v>0.22085833371501856</x:v>
      </x:c>
      <x:c r="F133" s="13" t="n">
        <x:f>(E133-D133)*100</x:f>
        <x:v>2.4628092690086536</x:v>
      </x:c>
      <x:c r="G133" s="12" t="n">
        <x:f>Nguon!H134/Nguon!D134</x:f>
        <x:v>0.0249781095903037</x:v>
      </x:c>
      <x:c r="H133" s="12" t="n">
        <x:f>Nguon!I134/Nguon!E134</x:f>
        <x:v>0.031969953739751755</x:v>
      </x:c>
      <x:c r="I133" s="13" t="n">
        <x:f>(H133-G133)*100</x:f>
        <x:v>0.6991844149448055</x:v>
      </x:c>
      <x:c r="J133" s="11" t="n">
        <x:f>Nguon!G134-Nguon!I134</x:f>
        <x:v>4124</x:v>
      </x:c>
      <x:c r="K133" s="12" t="n">
        <x:f>Nguon!N134/Nguon!K134</x:f>
        <x:v>0.0372933661677351</x:v>
      </x:c>
      <x:c r="L133" s="12" t="n">
        <x:f>Nguon!O134/Nguon!K134</x:f>
        <x:v>0.019861852051080854</x:v>
      </x:c>
      <x:c r="M133" s="2"/>
      <x:c r="N133" s="2"/>
      <x:c r="O133" s="2"/>
      <x:c r="P133" s="2"/>
      <x:c r="Q133" s="2"/>
      <x:c r="R133" s="2"/>
      <x:c r="S133" s="2"/>
      <x:c r="T133" s="2"/>
      <x:c r="U133" s="2"/>
    </x:row>
    <x:row r="134" ht="26" customHeight="1">
      <x:c r="A134" s="2" t="str">
        <x:v>E08000002</x:v>
      </x:c>
      <x:c r="B134" s="2" t="str">
        <x:v>Tiểu học</x:v>
      </x:c>
      <x:c r="C134" s="2" t="str">
        <x:v>Bury</x:v>
      </x:c>
      <x:c r="D134" s="12" t="n">
        <x:f>Nguon!F135/Nguon!D135</x:f>
        <x:v>0.12539820445988994</x:v>
      </x:c>
      <x:c r="E134" s="12" t="n">
        <x:f>Nguon!G135/Nguon!E135</x:f>
        <x:v>0.14649304527966855</x:v>
      </x:c>
      <x:c r="F134" s="13" t="n">
        <x:f>(E134-D134)*100</x:f>
        <x:v>2.109484081977861</x:v>
      </x:c>
      <x:c r="G134" s="12" t="n">
        <x:f>Nguon!H135/Nguon!D135</x:f>
        <x:v>0.008977700550246163</x:v>
      </x:c>
      <x:c r="H134" s="12" t="n">
        <x:f>Nguon!I135/Nguon!E135</x:f>
        <x:v>0.010580053270198283</x:v>
      </x:c>
      <x:c r="I134" s="13" t="n">
        <x:f>(H134-G134)*100</x:f>
        <x:v>0.160235271995212</x:v>
      </x:c>
      <x:c r="J134" s="11" t="n">
        <x:f>Nguon!G135-Nguon!I135</x:f>
        <x:v>1837</x:v>
      </x:c>
      <x:c r="K134" s="12" t="n">
        <x:f>Nguon!N135/Nguon!K135</x:f>
        <x:v>0.030171888684103892</x:v>
      </x:c>
      <x:c r="L134" s="12" t="n">
        <x:f>Nguon!O135/Nguon!K135</x:f>
        <x:v>0.005075356521966459</x:v>
      </x:c>
      <x:c r="M134" s="2"/>
      <x:c r="N134" s="2"/>
      <x:c r="O134" s="2"/>
      <x:c r="P134" s="2"/>
      <x:c r="Q134" s="2"/>
      <x:c r="R134" s="2"/>
      <x:c r="S134" s="2"/>
      <x:c r="T134" s="2"/>
      <x:c r="U134" s="2"/>
    </x:row>
    <x:row r="135" ht="26" customHeight="1">
      <x:c r="A135" s="2" t="str">
        <x:v>E08000002</x:v>
      </x:c>
      <x:c r="B135" s="2" t="str">
        <x:v>Trung học</x:v>
      </x:c>
      <x:c r="C135" s="2" t="str">
        <x:v>Bury</x:v>
      </x:c>
      <x:c r="D135" s="12" t="n">
        <x:f>Nguon!F136/Nguon!D136</x:f>
        <x:v>0.21279698087314522</x:v>
      </x:c>
      <x:c r="E135" s="12" t="n">
        <x:f>Nguon!G136/Nguon!E136</x:f>
        <x:v>0.23658240997229918</x:v>
      </x:c>
      <x:c r="F135" s="13" t="n">
        <x:f>(E135-D135)*100</x:f>
        <x:v>2.378542909915396</x:v>
      </x:c>
      <x:c r="G135" s="12" t="n">
        <x:f>Nguon!H136/Nguon!D136</x:f>
        <x:v>0.032163993481430654</x:v>
      </x:c>
      <x:c r="H135" s="12" t="n">
        <x:f>Nguon!I136/Nguon!E136</x:f>
        <x:v>0.03246191135734072</x:v>
      </x:c>
      <x:c r="I135" s="13" t="n">
        <x:f>(H135-G135)*100</x:f>
        <x:v>0.02979178759100684</x:v>
      </x:c>
      <x:c r="J135" s="11" t="n">
        <x:f>Nguon!G136-Nguon!I136</x:f>
        <x:v>2358</x:v>
      </x:c>
      <x:c r="K135" s="12" t="n">
        <x:f>Nguon!N136/Nguon!K136</x:f>
        <x:v>0.039950486909744086</x:v>
      </x:c>
      <x:c r="L135" s="12" t="n">
        <x:f>Nguon!O136/Nguon!K136</x:f>
        <x:v>0.023031653011270744</x:v>
      </x:c>
      <x:c r="M135" s="2"/>
      <x:c r="N135" s="2"/>
      <x:c r="O135" s="2"/>
      <x:c r="P135" s="2"/>
      <x:c r="Q135" s="2"/>
      <x:c r="R135" s="2"/>
      <x:c r="S135" s="2"/>
      <x:c r="T135" s="2"/>
      <x:c r="U135" s="2"/>
    </x:row>
    <x:row r="136" ht="26" customHeight="1">
      <x:c r="A136" s="2" t="str">
        <x:v>E08000003</x:v>
      </x:c>
      <x:c r="B136" s="2" t="str">
        <x:v>Tiểu học</x:v>
      </x:c>
      <x:c r="C136" s="2" t="str">
        <x:v>Manchester</x:v>
      </x:c>
      <x:c r="D136" s="12" t="n">
        <x:f>Nguon!F137/Nguon!D137</x:f>
        <x:v>0.1480717052016419</x:v>
      </x:c>
      <x:c r="E136" s="12" t="n">
        <x:f>Nguon!G137/Nguon!E137</x:f>
        <x:v>0.16760657618046262</x:v>
      </x:c>
      <x:c r="F136" s="13" t="n">
        <x:f>(E136-D136)*100</x:f>
        <x:v>1.9534870978820729</x:v>
      </x:c>
      <x:c r="G136" s="12" t="n">
        <x:f>Nguon!H137/Nguon!D137</x:f>
        <x:v>0.011479325618608103</x:v>
      </x:c>
      <x:c r="H136" s="12" t="n">
        <x:f>Nguon!I137/Nguon!E137</x:f>
        <x:v>0.01211527432613267</x:v>
      </x:c>
      <x:c r="I136" s="13" t="n">
        <x:f>(H136-G136)*100</x:f>
        <x:v>0.06359487075245675</x:v>
      </x:c>
      <x:c r="J136" s="11" t="n">
        <x:f>Nguon!G137-Nguon!I137</x:f>
        <x:v>6507</x:v>
      </x:c>
      <x:c r="K136" s="12" t="n">
        <x:f>Nguon!N137/Nguon!K137</x:f>
        <x:v>0.02880405652999054</x:v>
      </x:c>
      <x:c r="L136" s="12" t="n">
        <x:f>Nguon!O137/Nguon!K137</x:f>
        <x:v>0.009598674531423478</x:v>
      </x:c>
      <x:c r="M136" s="2"/>
      <x:c r="N136" s="2"/>
      <x:c r="O136" s="2"/>
      <x:c r="P136" s="2"/>
      <x:c r="Q136" s="2"/>
      <x:c r="R136" s="2"/>
      <x:c r="S136" s="2"/>
      <x:c r="T136" s="2"/>
      <x:c r="U136" s="2"/>
    </x:row>
    <x:row r="137" ht="26" customHeight="1">
      <x:c r="A137" s="2" t="str">
        <x:v>E08000003</x:v>
      </x:c>
      <x:c r="B137" s="2" t="str">
        <x:v>Trung học</x:v>
      </x:c>
      <x:c r="C137" s="2" t="str">
        <x:v>Manchester</x:v>
      </x:c>
      <x:c r="D137" s="12" t="n">
        <x:f>Nguon!F138/Nguon!D138</x:f>
        <x:v>0.18930235137533274</x:v>
      </x:c>
      <x:c r="E137" s="12" t="n">
        <x:f>Nguon!G138/Nguon!E138</x:f>
        <x:v>0.19922426928937526</x:v>
      </x:c>
      <x:c r="F137" s="13" t="n">
        <x:f>(E137-D137)*100</x:f>
        <x:v>0.9921917914042511</x:v>
      </x:c>
      <x:c r="G137" s="12" t="n">
        <x:f>Nguon!H138/Nguon!D138</x:f>
        <x:v>0.03260869565217391</x:v>
      </x:c>
      <x:c r="H137" s="12" t="n">
        <x:f>Nguon!I138/Nguon!E138</x:f>
        <x:v>0.0298656323590525</x:v>
      </x:c>
      <x:c r="I137" s="13" t="n">
        <x:f>(H137-G137)*100</x:f>
        <x:v>-0.2743063293121413</x:v>
      </x:c>
      <x:c r="J137" s="11" t="n">
        <x:f>Nguon!G138-Nguon!I138</x:f>
        <x:v>6113</x:v>
      </x:c>
      <x:c r="K137" s="12" t="n">
        <x:f>Nguon!N138/Nguon!K138</x:f>
        <x:v>0.027806234480578625</x:v>
      </x:c>
      <x:c r="L137" s="12" t="n">
        <x:f>Nguon!O138/Nguon!K138</x:f>
        <x:v>0.026047932657698725</x:v>
      </x:c>
      <x:c r="M137" s="2"/>
      <x:c r="N137" s="2"/>
      <x:c r="O137" s="2"/>
      <x:c r="P137" s="2"/>
      <x:c r="Q137" s="2"/>
      <x:c r="R137" s="2"/>
      <x:c r="S137" s="2"/>
      <x:c r="T137" s="2"/>
      <x:c r="U137" s="2"/>
    </x:row>
    <x:row r="138" ht="26" customHeight="1">
      <x:c r="A138" s="2" t="str">
        <x:v>E08000004</x:v>
      </x:c>
      <x:c r="B138" s="2" t="str">
        <x:v>Tiểu học</x:v>
      </x:c>
      <x:c r="C138" s="2" t="str">
        <x:v>Oldham</x:v>
      </x:c>
      <x:c r="D138" s="12" t="n">
        <x:f>Nguon!F139/Nguon!D139</x:f>
        <x:v>0.15192408564207716</x:v>
      </x:c>
      <x:c r="E138" s="12" t="n">
        <x:f>Nguon!G139/Nguon!E139</x:f>
        <x:v>0.15928945835760047</x:v>
      </x:c>
      <x:c r="F138" s="13" t="n">
        <x:f>(E138-D138)*100</x:f>
        <x:v>0.7365372715523316</x:v>
      </x:c>
      <x:c r="G138" s="12" t="n">
        <x:f>Nguon!H139/Nguon!D139</x:f>
        <x:v>0.0070096800343331265</x:v>
      </x:c>
      <x:c r="H138" s="12" t="n">
        <x:f>Nguon!I139/Nguon!E139</x:f>
        <x:v>0.007377208309066201</x:v>
      </x:c>
      <x:c r="I138" s="13" t="n">
        <x:f>(H138-G138)*100</x:f>
        <x:v>0.036752827473307464</x:v>
      </x:c>
      <x:c r="J138" s="11" t="n">
        <x:f>Nguon!G139-Nguon!I139</x:f>
        <x:v>3130</x:v>
      </x:c>
      <x:c r="K138" s="12" t="n">
        <x:f>Nguon!N139/Nguon!K139</x:f>
        <x:v>0.028752497502497504</x:v>
      </x:c>
      <x:c r="L138" s="12" t="n">
        <x:f>Nguon!O139/Nguon!K139</x:f>
        <x:v>0.007537105751391466</x:v>
      </x:c>
      <x:c r="M138" s="2"/>
      <x:c r="N138" s="2"/>
      <x:c r="O138" s="2"/>
      <x:c r="P138" s="2"/>
      <x:c r="Q138" s="2"/>
      <x:c r="R138" s="2"/>
      <x:c r="S138" s="2"/>
      <x:c r="T138" s="2"/>
      <x:c r="U138" s="2"/>
    </x:row>
    <x:row r="139" ht="26" customHeight="1">
      <x:c r="A139" s="2" t="str">
        <x:v>E08000004</x:v>
      </x:c>
      <x:c r="B139" s="2" t="str">
        <x:v>Trung học</x:v>
      </x:c>
      <x:c r="C139" s="2" t="str">
        <x:v>Oldham</x:v>
      </x:c>
      <x:c r="D139" s="12" t="n">
        <x:f>Nguon!F140/Nguon!D140</x:f>
        <x:v>0.2019471488178025</x:v>
      </x:c>
      <x:c r="E139" s="12" t="n">
        <x:f>Nguon!G140/Nguon!E140</x:f>
        <x:v>0.21266188649880496</x:v>
      </x:c>
      <x:c r="F139" s="13" t="n">
        <x:f>(E139-D139)*100</x:f>
        <x:v>1.071473768100245</x:v>
      </x:c>
      <x:c r="G139" s="12" t="n">
        <x:f>Nguon!H140/Nguon!D140</x:f>
        <x:v>0.02364394993045897</x:v>
      </x:c>
      <x:c r="H139" s="12" t="n">
        <x:f>Nguon!I140/Nguon!E140</x:f>
        <x:v>0.02690234005891835</x:v>
      </x:c>
      <x:c r="I139" s="13" t="n">
        <x:f>(H139-G139)*100</x:f>
        <x:v>0.32583901284593786</x:v>
      </x:c>
      <x:c r="J139" s="11" t="n">
        <x:f>Nguon!G140-Nguon!I140</x:f>
        <x:v>3342</x:v>
      </x:c>
      <x:c r="K139" s="12" t="n">
        <x:f>Nguon!N140/Nguon!K140</x:f>
        <x:v>0.030607931140338447</x:v>
      </x:c>
      <x:c r="L139" s="12" t="n">
        <x:f>Nguon!O140/Nguon!K140</x:f>
        <x:v>0.026768866088604678</x:v>
      </x:c>
      <x:c r="M139" s="2"/>
      <x:c r="N139" s="2"/>
      <x:c r="O139" s="2"/>
      <x:c r="P139" s="2"/>
      <x:c r="Q139" s="2"/>
      <x:c r="R139" s="2"/>
      <x:c r="S139" s="2"/>
      <x:c r="T139" s="2"/>
      <x:c r="U139" s="2"/>
    </x:row>
    <x:row r="140" ht="26" customHeight="1">
      <x:c r="A140" s="2" t="str">
        <x:v>E08000005</x:v>
      </x:c>
      <x:c r="B140" s="2" t="str">
        <x:v>Tiểu học</x:v>
      </x:c>
      <x:c r="C140" s="2" t="str">
        <x:v>Rochdale</x:v>
      </x:c>
      <x:c r="D140" s="12" t="n">
        <x:f>Nguon!F141/Nguon!D141</x:f>
        <x:v>0.1450224452072881</x:v>
      </x:c>
      <x:c r="E140" s="12" t="n">
        <x:f>Nguon!G141/Nguon!E141</x:f>
        <x:v>0.16043425814234016</x:v>
      </x:c>
      <x:c r="F140" s="13" t="n">
        <x:f>(E140-D140)*100</x:f>
        <x:v>1.541181293505206</x:v>
      </x:c>
      <x:c r="G140" s="12" t="n">
        <x:f>Nguon!H141/Nguon!D141</x:f>
        <x:v>0.008449960390810668</x:v>
      </x:c>
      <x:c r="H140" s="12" t="n">
        <x:f>Nguon!I141/Nguon!E141</x:f>
        <x:v>0.011349928720254414</x:v>
      </x:c>
      <x:c r="I140" s="13" t="n">
        <x:f>(H140-G140)*100</x:f>
        <x:v>0.2899968329443746</x:v>
      </x:c>
      <x:c r="J140" s="11" t="n">
        <x:f>Nguon!G141-Nguon!I141</x:f>
        <x:v>2719</x:v>
      </x:c>
      <x:c r="K140" s="12" t="n">
        <x:f>Nguon!N141/Nguon!K141</x:f>
        <x:v>0.02797995706861256</x:v>
      </x:c>
      <x:c r="L140" s="12" t="n">
        <x:f>Nguon!O141/Nguon!K141</x:f>
        <x:v>0.009422693991158993</x:v>
      </x:c>
      <x:c r="M140" s="2"/>
      <x:c r="N140" s="2"/>
      <x:c r="O140" s="2"/>
      <x:c r="P140" s="2"/>
      <x:c r="Q140" s="2"/>
      <x:c r="R140" s="2"/>
      <x:c r="S140" s="2"/>
      <x:c r="T140" s="2"/>
      <x:c r="U140" s="2"/>
    </x:row>
    <x:row r="141" ht="26" customHeight="1">
      <x:c r="A141" s="2" t="str">
        <x:v>E08000005</x:v>
      </x:c>
      <x:c r="B141" s="2" t="str">
        <x:v>Trung học</x:v>
      </x:c>
      <x:c r="C141" s="2" t="str">
        <x:v>Rochdale</x:v>
      </x:c>
      <x:c r="D141" s="12" t="n">
        <x:f>Nguon!F142/Nguon!D142</x:f>
        <x:v>0.23624595469255663</x:v>
      </x:c>
      <x:c r="E141" s="12" t="n">
        <x:f>Nguon!G142/Nguon!E142</x:f>
        <x:v>0.23498376623376624</x:v>
      </x:c>
      <x:c r="F141" s="13" t="n">
        <x:f>(E141-D141)*100</x:f>
        <x:v>-0.1262188458790392</x:v>
      </x:c>
      <x:c r="G141" s="12" t="n">
        <x:f>Nguon!H142/Nguon!D142</x:f>
        <x:v>0.03317152103559871</x:v>
      </x:c>
      <x:c r="H141" s="12" t="n">
        <x:f>Nguon!I142/Nguon!E142</x:f>
        <x:v>0.034564393939393936</x:v>
      </x:c>
      <x:c r="I141" s="13" t="n">
        <x:f>(H141-G141)*100</x:f>
        <x:v>0.13928729037952295</x:v>
      </x:c>
      <x:c r="J141" s="11" t="n">
        <x:f>Nguon!G142-Nguon!I142</x:f>
        <x:v>2963</x:v>
      </x:c>
      <x:c r="K141" s="12" t="n">
        <x:f>Nguon!N142/Nguon!K142</x:f>
        <x:v>0.03145167171478995</x:v>
      </x:c>
      <x:c r="L141" s="12" t="n">
        <x:f>Nguon!O142/Nguon!K142</x:f>
        <x:v>0.02841696363892711</x:v>
      </x:c>
      <x:c r="M141" s="2"/>
      <x:c r="N141" s="2"/>
      <x:c r="O141" s="2"/>
      <x:c r="P141" s="2"/>
      <x:c r="Q141" s="2"/>
      <x:c r="R141" s="2"/>
      <x:c r="S141" s="2"/>
      <x:c r="T141" s="2"/>
      <x:c r="U141" s="2"/>
    </x:row>
    <x:row r="142" ht="26" customHeight="1">
      <x:c r="A142" s="2" t="str">
        <x:v>E08000006</x:v>
      </x:c>
      <x:c r="B142" s="2" t="str">
        <x:v>Tiểu học</x:v>
      </x:c>
      <x:c r="C142" s="2" t="str">
        <x:v>Salford</x:v>
      </x:c>
      <x:c r="D142" s="12" t="n">
        <x:f>Nguon!F143/Nguon!D143</x:f>
        <x:v>0.16092787241754258</x:v>
      </x:c>
      <x:c r="E142" s="12" t="n">
        <x:f>Nguon!G143/Nguon!E143</x:f>
        <x:v>0.17490952955367914</x:v>
      </x:c>
      <x:c r="F142" s="13" t="n">
        <x:f>(E142-D142)*100</x:f>
        <x:v>1.3981657136136554</x:v>
      </x:c>
      <x:c r="G142" s="12" t="n">
        <x:f>Nguon!H143/Nguon!D143</x:f>
        <x:v>0.01097706208253508</x:v>
      </x:c>
      <x:c r="H142" s="12" t="n">
        <x:f>Nguon!I143/Nguon!E143</x:f>
        <x:v>0.014632611317983952</x:v>
      </x:c>
      <x:c r="I142" s="13" t="n">
        <x:f>(H142-G142)*100</x:f>
        <x:v>0.36555492354488717</x:v>
      </x:c>
      <x:c r="J142" s="11" t="n">
        <x:f>Nguon!G143-Nguon!I143</x:f>
        <x:v>3056</x:v>
      </x:c>
      <x:c r="K142" s="12" t="n">
        <x:f>Nguon!N143/Nguon!K143</x:f>
        <x:v>0.028968862485345793</x:v>
      </x:c>
      <x:c r="L142" s="12" t="n">
        <x:f>Nguon!O143/Nguon!K143</x:f>
        <x:v>0.010809570838536673</x:v>
      </x:c>
      <x:c r="M142" s="2"/>
      <x:c r="N142" s="2"/>
      <x:c r="O142" s="2"/>
      <x:c r="P142" s="2"/>
      <x:c r="Q142" s="2"/>
      <x:c r="R142" s="2"/>
      <x:c r="S142" s="2"/>
      <x:c r="T142" s="2"/>
      <x:c r="U142" s="2"/>
    </x:row>
    <x:row r="143" ht="26" customHeight="1">
      <x:c r="A143" s="2" t="str">
        <x:v>E08000006</x:v>
      </x:c>
      <x:c r="B143" s="2" t="str">
        <x:v>Trung học</x:v>
      </x:c>
      <x:c r="C143" s="2" t="str">
        <x:v>Salford</x:v>
      </x:c>
      <x:c r="D143" s="12" t="n">
        <x:f>Nguon!F144/Nguon!D144</x:f>
        <x:v>0.23921370239213702</x:v>
      </x:c>
      <x:c r="E143" s="12" t="n">
        <x:f>Nguon!G144/Nguon!E144</x:f>
        <x:v>0.251339997102709</x:v>
      </x:c>
      <x:c r="F143" s="13" t="n">
        <x:f>(E143-D143)*100</x:f>
        <x:v>1.2126294710571972</x:v>
      </x:c>
      <x:c r="G143" s="12" t="n">
        <x:f>Nguon!H144/Nguon!D144</x:f>
        <x:v>0.04184433041844331</x:v>
      </x:c>
      <x:c r="H143" s="12" t="n">
        <x:f>Nguon!I144/Nguon!E144</x:f>
        <x:v>0.04360423004490801</x:v>
      </x:c>
      <x:c r="I143" s="13" t="n">
        <x:f>(H143-G143)*100</x:f>
        <x:v>0.17598996264647018</x:v>
      </x:c>
      <x:c r="J143" s="11" t="n">
        <x:f>Nguon!G144-Nguon!I144</x:f>
        <x:v>2868</x:v>
      </x:c>
      <x:c r="K143" s="12" t="n">
        <x:f>Nguon!N144/Nguon!K144</x:f>
        <x:v>0.030692890940015153</x:v>
      </x:c>
      <x:c r="L143" s="12" t="n">
        <x:f>Nguon!O144/Nguon!K144</x:f>
        <x:v>0.03468428610032268</x:v>
      </x:c>
      <x:c r="M143" s="2"/>
      <x:c r="N143" s="2"/>
      <x:c r="O143" s="2"/>
      <x:c r="P143" s="2"/>
      <x:c r="Q143" s="2"/>
      <x:c r="R143" s="2"/>
      <x:c r="S143" s="2"/>
      <x:c r="T143" s="2"/>
      <x:c r="U143" s="2"/>
    </x:row>
    <x:row r="144" ht="26" customHeight="1">
      <x:c r="A144" s="2" t="str">
        <x:v>E08000007</x:v>
      </x:c>
      <x:c r="B144" s="2" t="str">
        <x:v>Tiểu học</x:v>
      </x:c>
      <x:c r="C144" s="2" t="str">
        <x:v>Stockport</x:v>
      </x:c>
      <x:c r="D144" s="12" t="n">
        <x:f>Nguon!F145/Nguon!D145</x:f>
        <x:v>0.11606256793157223</x:v>
      </x:c>
      <x:c r="E144" s="12" t="n">
        <x:f>Nguon!G145/Nguon!E145</x:f>
        <x:v>0.12979564295353768</x:v>
      </x:c>
      <x:c r="F144" s="13" t="n">
        <x:f>(E144-D144)*100</x:f>
        <x:v>1.3733075021965455</x:v>
      </x:c>
      <x:c r="G144" s="12" t="n">
        <x:f>Nguon!H145/Nguon!D145</x:f>
        <x:v>0.004583904352346298</x:v>
      </x:c>
      <x:c r="H144" s="12" t="n">
        <x:f>Nguon!I145/Nguon!E145</x:f>
        <x:v>0.008000771158665895</x:v>
      </x:c>
      <x:c r="I144" s="13" t="n">
        <x:f>(H144-G144)*100</x:f>
        <x:v>0.3416866806319597</x:v>
      </x:c>
      <x:c r="J144" s="11" t="n">
        <x:f>Nguon!G145-Nguon!I145</x:f>
        <x:v>2527</x:v>
      </x:c>
      <x:c r="K144" s="12" t="n">
        <x:f>Nguon!N145/Nguon!K145</x:f>
        <x:v>0.02985739569685735</x:v>
      </x:c>
      <x:c r="L144" s="12" t="n">
        <x:f>Nguon!O145/Nguon!K145</x:f>
        <x:v>0.005382646542247894</x:v>
      </x:c>
      <x:c r="M144" s="2"/>
      <x:c r="N144" s="2"/>
      <x:c r="O144" s="2"/>
      <x:c r="P144" s="2"/>
      <x:c r="Q144" s="2"/>
      <x:c r="R144" s="2"/>
      <x:c r="S144" s="2"/>
      <x:c r="T144" s="2"/>
      <x:c r="U144" s="2"/>
    </x:row>
    <x:row r="145" ht="26" customHeight="1">
      <x:c r="A145" s="2" t="str">
        <x:v>E08000007</x:v>
      </x:c>
      <x:c r="B145" s="2" t="str">
        <x:v>Trung học</x:v>
      </x:c>
      <x:c r="C145" s="2" t="str">
        <x:v>Stockport</x:v>
      </x:c>
      <x:c r="D145" s="12" t="n">
        <x:f>Nguon!F146/Nguon!D146</x:f>
        <x:v>0.20594440307768677</x:v>
      </x:c>
      <x:c r="E145" s="12" t="n">
        <x:f>Nguon!G146/Nguon!E146</x:f>
        <x:v>0.20881785958584664</x:v>
      </x:c>
      <x:c r="F145" s="13" t="n">
        <x:f>(E145-D145)*100</x:f>
        <x:v>0.2873456508159872</x:v>
      </x:c>
      <x:c r="G145" s="12" t="n">
        <x:f>Nguon!H146/Nguon!D146</x:f>
        <x:v>0.0379746835443038</x:v>
      </x:c>
      <x:c r="H145" s="12" t="n">
        <x:f>Nguon!I146/Nguon!E146</x:f>
        <x:v>0.03619177911821404</x:v>
      </x:c>
      <x:c r="I145" s="13" t="n">
        <x:f>(H145-G145)*100</x:f>
        <x:v>-0.17829044260897556</x:v>
      </x:c>
      <x:c r="J145" s="11" t="n">
        <x:f>Nguon!G146-Nguon!I146</x:f>
        <x:v>2776</x:v>
      </x:c>
      <x:c r="K145" s="12" t="n">
        <x:f>Nguon!N146/Nguon!K146</x:f>
        <x:v>0.04036551496418729</x:v>
      </x:c>
      <x:c r="L145" s="12" t="n">
        <x:f>Nguon!O146/Nguon!K146</x:f>
        <x:v>0.020246600738610475</x:v>
      </x:c>
      <x:c r="M145" s="2"/>
      <x:c r="N145" s="2"/>
      <x:c r="O145" s="2"/>
      <x:c r="P145" s="2"/>
      <x:c r="Q145" s="2"/>
      <x:c r="R145" s="2"/>
      <x:c r="S145" s="2"/>
      <x:c r="T145" s="2"/>
      <x:c r="U145" s="2"/>
    </x:row>
    <x:row r="146" ht="26" customHeight="1">
      <x:c r="A146" s="2" t="str">
        <x:v>E08000008</x:v>
      </x:c>
      <x:c r="B146" s="2" t="str">
        <x:v>Tiểu học</x:v>
      </x:c>
      <x:c r="C146" s="2" t="str">
        <x:v>Tameside</x:v>
      </x:c>
      <x:c r="D146" s="12" t="n">
        <x:f>Nguon!F147/Nguon!D147</x:f>
        <x:v>0.13107907083190296</x:v>
      </x:c>
      <x:c r="E146" s="12" t="n">
        <x:f>Nguon!G147/Nguon!E147</x:f>
        <x:v>0.14826941066417212</x:v>
      </x:c>
      <x:c r="F146" s="13" t="n">
        <x:f>(E146-D146)*100</x:f>
        <x:v>1.7190339832269168</x:v>
      </x:c>
      <x:c r="G146" s="12" t="n">
        <x:f>Nguon!H147/Nguon!D147</x:f>
        <x:v>0.005778693214326582</x:v>
      </x:c>
      <x:c r="H146" s="12" t="n">
        <x:f>Nguon!I147/Nguon!E147</x:f>
        <x:v>0.008360617399438728</x:v>
      </x:c>
      <x:c r="I146" s="13" t="n">
        <x:f>(H146-G146)*100</x:f>
        <x:v>0.25819241851121455</x:v>
      </x:c>
      <x:c r="J146" s="11" t="n">
        <x:f>Nguon!G147-Nguon!I147</x:f>
        <x:v>2393</x:v>
      </x:c>
      <x:c r="K146" s="12" t="n">
        <x:f>Nguon!N147/Nguon!K147</x:f>
        <x:v>0.027351137642269565</x:v>
      </x:c>
      <x:c r="L146" s="12" t="n">
        <x:f>Nguon!O147/Nguon!K147</x:f>
        <x:v>0.008088666363597093</x:v>
      </x:c>
      <x:c r="M146" s="2"/>
      <x:c r="N146" s="2"/>
      <x:c r="O146" s="2"/>
      <x:c r="P146" s="2"/>
      <x:c r="Q146" s="2"/>
      <x:c r="R146" s="2"/>
      <x:c r="S146" s="2"/>
      <x:c r="T146" s="2"/>
      <x:c r="U146" s="2"/>
    </x:row>
    <x:row r="147" ht="26" customHeight="1">
      <x:c r="A147" s="2" t="str">
        <x:v>E08000008</x:v>
      </x:c>
      <x:c r="B147" s="2" t="str">
        <x:v>Trung học</x:v>
      </x:c>
      <x:c r="C147" s="2" t="str">
        <x:v>Tameside</x:v>
      </x:c>
      <x:c r="D147" s="12" t="n">
        <x:f>Nguon!F148/Nguon!D148</x:f>
        <x:v>0.2063321128580659</x:v>
      </x:c>
      <x:c r="E147" s="12" t="n">
        <x:f>Nguon!G148/Nguon!E148</x:f>
        <x:v>0.2329794293297943</x:v>
      </x:c>
      <x:c r="F147" s="13" t="n">
        <x:f>(E147-D147)*100</x:f>
        <x:v>2.664731647172838</x:v>
      </x:c>
      <x:c r="G147" s="12" t="n">
        <x:f>Nguon!H148/Nguon!D148</x:f>
        <x:v>0.03632708737167061</x:v>
      </x:c>
      <x:c r="H147" s="12" t="n">
        <x:f>Nguon!I148/Nguon!E148</x:f>
        <x:v>0.037757133377571334</x:v>
      </x:c>
      <x:c r="I147" s="13" t="n">
        <x:f>(H147-G147)*100</x:f>
        <x:v>0.14300460059007217</x:v>
      </x:c>
      <x:c r="J147" s="11" t="n">
        <x:f>Nguon!G148-Nguon!I148</x:f>
        <x:v>2942</x:v>
      </x:c>
      <x:c r="K147" s="12" t="n">
        <x:f>Nguon!N148/Nguon!K148</x:f>
        <x:v>0.029488149184398824</x:v>
      </x:c>
      <x:c r="L147" s="12" t="n">
        <x:f>Nguon!O148/Nguon!K148</x:f>
        <x:v>0.032555677844468264</x:v>
      </x:c>
      <x:c r="M147" s="2"/>
      <x:c r="N147" s="2"/>
      <x:c r="O147" s="2"/>
      <x:c r="P147" s="2"/>
      <x:c r="Q147" s="2"/>
      <x:c r="R147" s="2"/>
      <x:c r="S147" s="2"/>
      <x:c r="T147" s="2"/>
      <x:c r="U147" s="2"/>
    </x:row>
    <x:row r="148" ht="26" customHeight="1">
      <x:c r="A148" s="2" t="str">
        <x:v>E08000009</x:v>
      </x:c>
      <x:c r="B148" s="2" t="str">
        <x:v>Tiểu học</x:v>
      </x:c>
      <x:c r="C148" s="2" t="str">
        <x:v>Trafford</x:v>
      </x:c>
      <x:c r="D148" s="12" t="n">
        <x:f>Nguon!F149/Nguon!D149</x:f>
        <x:v>0.1056007762384777</x:v>
      </x:c>
      <x:c r="E148" s="12" t="n">
        <x:f>Nguon!G149/Nguon!E149</x:f>
        <x:v>0.10491766800178015</x:v>
      </x:c>
      <x:c r="F148" s="13" t="n">
        <x:f>(E148-D148)*100</x:f>
        <x:v>-0.06831082366975522</x:v>
      </x:c>
      <x:c r="G148" s="12" t="n">
        <x:f>Nguon!H149/Nguon!D149</x:f>
        <x:v>0.003557759689504609</x:v>
      </x:c>
      <x:c r="H148" s="12" t="n">
        <x:f>Nguon!I149/Nguon!E149</x:f>
        <x:v>0.005674232309746329</x:v>
      </x:c>
      <x:c r="I148" s="13" t="n">
        <x:f>(H148-G148)*100</x:f>
        <x:v>0.21164726202417197</x:v>
      </x:c>
      <x:c r="J148" s="11" t="n">
        <x:f>Nguon!G149-Nguon!I149</x:f>
        <x:v>1784</x:v>
      </x:c>
      <x:c r="K148" s="12" t="n">
        <x:f>Nguon!N149/Nguon!K149</x:f>
        <x:v>0.02516045813496966</x:v>
      </x:c>
      <x:c r="L148" s="12" t="n">
        <x:f>Nguon!O149/Nguon!K149</x:f>
        <x:v>0.003179395988692541</x:v>
      </x:c>
      <x:c r="M148" s="2"/>
      <x:c r="N148" s="2"/>
      <x:c r="O148" s="2"/>
      <x:c r="P148" s="2"/>
      <x:c r="Q148" s="2"/>
      <x:c r="R148" s="2"/>
      <x:c r="S148" s="2"/>
      <x:c r="T148" s="2"/>
      <x:c r="U148" s="2"/>
    </x:row>
    <x:row r="149" ht="26" customHeight="1">
      <x:c r="A149" s="2" t="str">
        <x:v>E08000009</x:v>
      </x:c>
      <x:c r="B149" s="2" t="str">
        <x:v>Trung học</x:v>
      </x:c>
      <x:c r="C149" s="2" t="str">
        <x:v>Trafford</x:v>
      </x:c>
      <x:c r="D149" s="12" t="n">
        <x:f>Nguon!F150/Nguon!D150</x:f>
        <x:v>0.13684451306684967</x:v>
      </x:c>
      <x:c r="E149" s="12" t="n">
        <x:f>Nguon!G150/Nguon!E150</x:f>
        <x:v>0.14689682584748168</x:v>
      </x:c>
      <x:c r="F149" s="13" t="n">
        <x:f>(E149-D149)*100</x:f>
        <x:v>1.0052312780632011</x:v>
      </x:c>
      <x:c r="G149" s="12" t="n">
        <x:f>Nguon!H150/Nguon!D150</x:f>
        <x:v>0.018013381369016986</x:v>
      </x:c>
      <x:c r="H149" s="12" t="n">
        <x:f>Nguon!I150/Nguon!E150</x:f>
        <x:v>0.018908636647549826</x:v>
      </x:c>
      <x:c r="I149" s="13" t="n">
        <x:f>(H149-G149)*100</x:f>
        <x:v>0.08952552785328402</x:v>
      </x:c>
      <x:c r="J149" s="11" t="n">
        <x:f>Nguon!G150-Nguon!I150</x:f>
        <x:v>2254</x:v>
      </x:c>
      <x:c r="K149" s="12" t="n">
        <x:f>Nguon!N150/Nguon!K150</x:f>
        <x:v>0.03815039305728518</x:v>
      </x:c>
      <x:c r="L149" s="12" t="n">
        <x:f>Nguon!O150/Nguon!K150</x:f>
        <x:v>0.007512518161062682</x:v>
      </x:c>
      <x:c r="M149" s="2"/>
      <x:c r="N149" s="2"/>
      <x:c r="O149" s="2"/>
      <x:c r="P149" s="2"/>
      <x:c r="Q149" s="2"/>
      <x:c r="R149" s="2"/>
      <x:c r="S149" s="2"/>
      <x:c r="T149" s="2"/>
      <x:c r="U149" s="2"/>
    </x:row>
    <x:row r="150" ht="26" customHeight="1">
      <x:c r="A150" s="2" t="str">
        <x:v>E08000010</x:v>
      </x:c>
      <x:c r="B150" s="2" t="str">
        <x:v>Tiểu học</x:v>
      </x:c>
      <x:c r="C150" s="2" t="str">
        <x:v>Wigan</x:v>
      </x:c>
      <x:c r="D150" s="12" t="n">
        <x:f>Nguon!F151/Nguon!D151</x:f>
        <x:v>0.14335280425139443</x:v>
      </x:c>
      <x:c r="E150" s="12" t="n">
        <x:f>Nguon!G151/Nguon!E151</x:f>
        <x:v>0.15440359222869338</x:v>
      </x:c>
      <x:c r="F150" s="13" t="n">
        <x:f>(E150-D150)*100</x:f>
        <x:v>1.1050787977298944</x:v>
      </x:c>
      <x:c r="G150" s="12" t="n">
        <x:f>Nguon!H151/Nguon!D151</x:f>
        <x:v>0.00685142079142694</x:v>
      </x:c>
      <x:c r="H150" s="12" t="n">
        <x:f>Nguon!I151/Nguon!E151</x:f>
        <x:v>0.009691904147957143</x:v>
      </x:c>
      <x:c r="I150" s="13" t="n">
        <x:f>(H150-G150)*100</x:f>
        <x:v>0.28404833565302023</x:v>
      </x:c>
      <x:c r="J150" s="11" t="n">
        <x:f>Nguon!G151-Nguon!I151</x:f>
        <x:v>3255</x:v>
      </x:c>
      <x:c r="K150" s="12" t="n">
        <x:f>Nguon!N151/Nguon!K151</x:f>
        <x:v>0.03170491750499032</x:v>
      </x:c>
      <x:c r="L150" s="12" t="n">
        <x:f>Nguon!O151/Nguon!K151</x:f>
        <x:v>0.005862693235458738</x:v>
      </x:c>
      <x:c r="M150" s="2"/>
      <x:c r="N150" s="2"/>
      <x:c r="O150" s="2"/>
      <x:c r="P150" s="2"/>
      <x:c r="Q150" s="2"/>
      <x:c r="R150" s="2"/>
      <x:c r="S150" s="2"/>
      <x:c r="T150" s="2"/>
      <x:c r="U150" s="2"/>
    </x:row>
    <x:row r="151" ht="26" customHeight="1">
      <x:c r="A151" s="2" t="str">
        <x:v>E08000010</x:v>
      </x:c>
      <x:c r="B151" s="2" t="str">
        <x:v>Trung học</x:v>
      </x:c>
      <x:c r="C151" s="2" t="str">
        <x:v>Wigan</x:v>
      </x:c>
      <x:c r="D151" s="12" t="n">
        <x:f>Nguon!F152/Nguon!D152</x:f>
        <x:v>0.2088039532069383</x:v>
      </x:c>
      <x:c r="E151" s="12" t="n">
        <x:f>Nguon!G152/Nguon!E152</x:f>
        <x:v>0.2202350795420002</x:v>
      </x:c>
      <x:c r="F151" s="13" t="n">
        <x:f>(E151-D151)*100</x:f>
        <x:v>1.143112633506191</x:v>
      </x:c>
      <x:c r="G151" s="12" t="n">
        <x:f>Nguon!H152/Nguon!D152</x:f>
        <x:v>0.02980032271077047</x:v>
      </x:c>
      <x:c r="H151" s="12" t="n">
        <x:f>Nguon!I152/Nguon!E152</x:f>
        <x:v>0.030195561860370857</x:v>
      </x:c>
      <x:c r="I151" s="13" t="n">
        <x:f>(H151-G151)*100</x:f>
        <x:v>0.039523914960038625</x:v>
      </x:c>
      <x:c r="J151" s="11" t="n">
        <x:f>Nguon!G152-Nguon!I152</x:f>
        <x:v>3751</x:v>
      </x:c>
      <x:c r="K151" s="12" t="n">
        <x:f>Nguon!N152/Nguon!K152</x:f>
        <x:v>0.04051684920689418</x:v>
      </x:c>
      <x:c r="L151" s="12" t="n">
        <x:f>Nguon!O152/Nguon!K152</x:f>
        <x:v>0.01970068266611733</x:v>
      </x:c>
      <x:c r="M151" s="2"/>
      <x:c r="N151" s="2"/>
      <x:c r="O151" s="2"/>
      <x:c r="P151" s="2"/>
      <x:c r="Q151" s="2"/>
      <x:c r="R151" s="2"/>
      <x:c r="S151" s="2"/>
      <x:c r="T151" s="2"/>
      <x:c r="U151" s="2"/>
    </x:row>
    <x:row r="152" ht="26" customHeight="1">
      <x:c r="A152" s="2" t="str">
        <x:v>E08000011</x:v>
      </x:c>
      <x:c r="B152" s="2" t="str">
        <x:v>Tiểu học</x:v>
      </x:c>
      <x:c r="C152" s="2" t="str">
        <x:v>Knowsley</x:v>
      </x:c>
      <x:c r="D152" s="12" t="n">
        <x:f>Nguon!F153/Nguon!D153</x:f>
        <x:v>0.1989412568306011</x:v>
      </x:c>
      <x:c r="E152" s="12" t="n">
        <x:f>Nguon!G153/Nguon!E153</x:f>
        <x:v>0.21021560574948664</x:v>
      </x:c>
      <x:c r="F152" s="13" t="n">
        <x:f>(E152-D152)*100</x:f>
        <x:v>1.1274348918885542</x:v>
      </x:c>
      <x:c r="G152" s="12" t="n">
        <x:f>Nguon!H153/Nguon!D153</x:f>
        <x:v>0.00665983606557377</x:v>
      </x:c>
      <x:c r="H152" s="12" t="n">
        <x:f>Nguon!I153/Nguon!E153</x:f>
        <x:v>0.011379192334017796</x:v>
      </x:c>
      <x:c r="I152" s="13" t="n">
        <x:f>(H152-G152)*100</x:f>
        <x:v>0.4719356268444026</x:v>
      </x:c>
      <x:c r="J152" s="11" t="n">
        <x:f>Nguon!G153-Nguon!I153</x:f>
        <x:v>2324</x:v>
      </x:c>
      <x:c r="K152" s="12" t="n">
        <x:f>Nguon!N153/Nguon!K153</x:f>
        <x:v>0.029881435238717176</x:v>
      </x:c>
      <x:c r="L152" s="12" t="n">
        <x:f>Nguon!O153/Nguon!K153</x:f>
        <x:v>0.017292242066226118</x:v>
      </x:c>
      <x:c r="M152" s="2"/>
      <x:c r="N152" s="2"/>
      <x:c r="O152" s="2"/>
      <x:c r="P152" s="2"/>
      <x:c r="Q152" s="2"/>
      <x:c r="R152" s="2"/>
      <x:c r="S152" s="2"/>
      <x:c r="T152" s="2"/>
      <x:c r="U152" s="2"/>
    </x:row>
    <x:row r="153" ht="26" customHeight="1">
      <x:c r="A153" s="2" t="str">
        <x:v>E08000011</x:v>
      </x:c>
      <x:c r="B153" s="2" t="str">
        <x:v>Trung học</x:v>
      </x:c>
      <x:c r="C153" s="2" t="str">
        <x:v>Knowsley</x:v>
      </x:c>
      <x:c r="D153" s="12" t="n">
        <x:f>Nguon!F154/Nguon!D154</x:f>
        <x:v>0.29753168779186123</x:v>
      </x:c>
      <x:c r="E153" s="12" t="n">
        <x:f>Nguon!G154/Nguon!E154</x:f>
        <x:v>0.32667997338656024</x:v>
      </x:c>
      <x:c r="F153" s="13" t="n">
        <x:f>(E153-D153)*100</x:f>
        <x:v>2.9148285594699006</x:v>
      </x:c>
      <x:c r="G153" s="12" t="n">
        <x:f>Nguon!H154/Nguon!D154</x:f>
        <x:v>0.04653102068045364</x:v>
      </x:c>
      <x:c r="H153" s="12" t="n">
        <x:f>Nguon!I154/Nguon!E154</x:f>
        <x:v>0.04973386560212908</x:v>
      </x:c>
      <x:c r="I153" s="13" t="n">
        <x:f>(H153-G153)*100</x:f>
        <x:v>0.32028449216754407</x:v>
      </x:c>
      <x:c r="J153" s="11" t="n">
        <x:f>Nguon!G154-Nguon!I154</x:f>
        <x:v>1665</x:v>
      </x:c>
      <x:c r="K153" s="12" t="n">
        <x:f>Nguon!N154/Nguon!K154</x:f>
        <x:v>0.02393719357775681</x:v>
      </x:c>
      <x:c r="L153" s="12" t="n">
        <x:f>Nguon!O154/Nguon!K154</x:f>
        <x:v>0.0595126606182374</x:v>
      </x:c>
      <x:c r="M153" s="2"/>
      <x:c r="N153" s="2"/>
      <x:c r="O153" s="2"/>
      <x:c r="P153" s="2"/>
      <x:c r="Q153" s="2"/>
      <x:c r="R153" s="2"/>
      <x:c r="S153" s="2"/>
      <x:c r="T153" s="2"/>
      <x:c r="U153" s="2"/>
    </x:row>
    <x:row r="154" ht="26" customHeight="1">
      <x:c r="A154" s="2" t="str">
        <x:v>E08000012</x:v>
      </x:c>
      <x:c r="B154" s="2" t="str">
        <x:v>Tiểu học</x:v>
      </x:c>
      <x:c r="C154" s="2" t="str">
        <x:v>Liverpool</x:v>
      </x:c>
      <x:c r="D154" s="12" t="n">
        <x:f>Nguon!F155/Nguon!D155</x:f>
        <x:v>0.1494178903644767</x:v>
      </x:c>
      <x:c r="E154" s="12" t="n">
        <x:f>Nguon!G155/Nguon!E155</x:f>
        <x:v>0.16279277668514214</x:v>
      </x:c>
      <x:c r="F154" s="13" t="n">
        <x:f>(E154-D154)*100</x:f>
        <x:v>1.337488632066544</x:v>
      </x:c>
      <x:c r="G154" s="12" t="n">
        <x:f>Nguon!H155/Nguon!D155</x:f>
        <x:v>0.006640145088632774</x:v>
      </x:c>
      <x:c r="H154" s="12" t="n">
        <x:f>Nguon!I155/Nguon!E155</x:f>
        <x:v>0.007807378270457119</x:v>
      </x:c>
      <x:c r="I154" s="13" t="n">
        <x:f>(H154-G154)*100</x:f>
        <x:v>0.11672331818243448</x:v>
      </x:c>
      <x:c r="J154" s="11" t="n">
        <x:f>Nguon!G155-Nguon!I155</x:f>
        <x:v>5201</x:v>
      </x:c>
      <x:c r="K154" s="12" t="n">
        <x:f>Nguon!N155/Nguon!K155</x:f>
        <x:v>0.02548295392457328</x:v>
      </x:c>
      <x:c r="L154" s="12" t="n">
        <x:f>Nguon!O155/Nguon!K155</x:f>
        <x:v>0.014554603087610052</x:v>
      </x:c>
      <x:c r="M154" s="2"/>
      <x:c r="N154" s="2"/>
      <x:c r="O154" s="2"/>
      <x:c r="P154" s="2"/>
      <x:c r="Q154" s="2"/>
      <x:c r="R154" s="2"/>
      <x:c r="S154" s="2"/>
      <x:c r="T154" s="2"/>
      <x:c r="U154" s="2"/>
    </x:row>
    <x:row r="155" ht="26" customHeight="1">
      <x:c r="A155" s="2" t="str">
        <x:v>E08000012</x:v>
      </x:c>
      <x:c r="B155" s="2" t="str">
        <x:v>Trung học</x:v>
      </x:c>
      <x:c r="C155" s="2" t="str">
        <x:v>Liverpool</x:v>
      </x:c>
      <x:c r="D155" s="12" t="n">
        <x:f>Nguon!F156/Nguon!D156</x:f>
        <x:v>0.2349068955484434</x:v>
      </x:c>
      <x:c r="E155" s="12" t="n">
        <x:f>Nguon!G156/Nguon!E156</x:f>
        <x:v>0.24510724093579447</x:v>
      </x:c>
      <x:c r="F155" s="13" t="n">
        <x:f>(E155-D155)*100</x:f>
        <x:v>1.0200345387351066</x:v>
      </x:c>
      <x:c r="G155" s="12" t="n">
        <x:f>Nguon!H156/Nguon!D156</x:f>
        <x:v>0.04055135292406168</x:v>
      </x:c>
      <x:c r="H155" s="12" t="n">
        <x:f>Nguon!I156/Nguon!E156</x:f>
        <x:v>0.03855111760002781</x:v>
      </x:c>
      <x:c r="I155" s="13" t="n">
        <x:f>(H155-G155)*100</x:f>
        <x:v>-0.20002353240338722</x:v>
      </x:c>
      <x:c r="J155" s="11" t="n">
        <x:f>Nguon!G156-Nguon!I156</x:f>
        <x:v>5942</x:v>
      </x:c>
      <x:c r="K155" s="12" t="n">
        <x:f>Nguon!N156/Nguon!K156</x:f>
        <x:v>0.029324735007012607</x:v>
      </x:c>
      <x:c r="L155" s="12" t="n">
        <x:f>Nguon!O156/Nguon!K156</x:f>
        <x:v>0.03986353071451113</x:v>
      </x:c>
      <x:c r="M155" s="2"/>
      <x:c r="N155" s="2"/>
      <x:c r="O155" s="2"/>
      <x:c r="P155" s="2"/>
      <x:c r="Q155" s="2"/>
      <x:c r="R155" s="2"/>
      <x:c r="S155" s="2"/>
      <x:c r="T155" s="2"/>
      <x:c r="U155" s="2"/>
    </x:row>
    <x:row r="156" ht="26" customHeight="1">
      <x:c r="A156" s="2" t="str">
        <x:v>E08000013</x:v>
      </x:c>
      <x:c r="B156" s="2" t="str">
        <x:v>Tiểu học</x:v>
      </x:c>
      <x:c r="C156" s="2" t="str">
        <x:v>St. Helens</x:v>
      </x:c>
      <x:c r="D156" s="12" t="n">
        <x:f>Nguon!F157/Nguon!D157</x:f>
        <x:v>0.14166868588966966</x:v>
      </x:c>
      <x:c r="E156" s="12" t="n">
        <x:f>Nguon!G157/Nguon!E157</x:f>
        <x:v>0.13959808927689013</x:v>
      </x:c>
      <x:c r="F156" s="13" t="n">
        <x:f>(E156-D156)*100</x:f>
        <x:v>-0.20705966127795294</x:v>
      </x:c>
      <x:c r="G156" s="12" t="n">
        <x:f>Nguon!H157/Nguon!D157</x:f>
        <x:v>0.008319198772312414</x:v>
      </x:c>
      <x:c r="H156" s="12" t="n">
        <x:f>Nguon!I157/Nguon!E157</x:f>
        <x:v>0.007906440454620326</x:v>
      </x:c>
      <x:c r="I156" s="13" t="n">
        <x:f>(H156-G156)*100</x:f>
        <x:v>-0.04127583176920871</x:v>
      </x:c>
      <x:c r="J156" s="11" t="n">
        <x:f>Nguon!G157-Nguon!I157</x:f>
        <x:v>1599</x:v>
      </x:c>
      <x:c r="K156" s="12" t="n">
        <x:f>Nguon!N157/Nguon!K157</x:f>
        <x:v>0.028785193155436546</x:v>
      </x:c>
      <x:c r="L156" s="12" t="n">
        <x:f>Nguon!O157/Nguon!K157</x:f>
        <x:v>0.006805044651001755</x:v>
      </x:c>
      <x:c r="M156" s="2"/>
      <x:c r="N156" s="2"/>
      <x:c r="O156" s="2"/>
      <x:c r="P156" s="2"/>
      <x:c r="Q156" s="2"/>
      <x:c r="R156" s="2"/>
      <x:c r="S156" s="2"/>
      <x:c r="T156" s="2"/>
      <x:c r="U156" s="2"/>
    </x:row>
    <x:row r="157" ht="26" customHeight="1">
      <x:c r="A157" s="2" t="str">
        <x:v>E08000013</x:v>
      </x:c>
      <x:c r="B157" s="2" t="str">
        <x:v>Trung học</x:v>
      </x:c>
      <x:c r="C157" s="2" t="str">
        <x:v>St. Helens</x:v>
      </x:c>
      <x:c r="D157" s="12" t="n">
        <x:f>Nguon!F158/Nguon!D158</x:f>
        <x:v>0.23159213569776407</x:v>
      </x:c>
      <x:c r="E157" s="12" t="n">
        <x:f>Nguon!G158/Nguon!E158</x:f>
        <x:v>0.22870217116152272</x:v>
      </x:c>
      <x:c r="F157" s="13" t="n">
        <x:f>(E157-D157)*100</x:f>
        <x:v>-0.2889964536241352</x:v>
      </x:c>
      <x:c r="G157" s="12" t="n">
        <x:f>Nguon!H158/Nguon!D158</x:f>
        <x:v>0.03989976869699306</x:v>
      </x:c>
      <x:c r="H157" s="12" t="n">
        <x:f>Nguon!I158/Nguon!E158</x:f>
        <x:v>0.038652516794859315</x:v>
      </x:c>
      <x:c r="I157" s="13" t="n">
        <x:f>(H157-G157)*100</x:f>
        <x:v>-0.12472519021337475</x:v>
      </x:c>
      <x:c r="J157" s="11" t="n">
        <x:f>Nguon!G158-Nguon!I158</x:f>
        <x:v>1952</x:v>
      </x:c>
      <x:c r="K157" s="12" t="n">
        <x:f>Nguon!N158/Nguon!K158</x:f>
        <x:v>0.036892567033912735</x:v>
      </x:c>
      <x:c r="L157" s="12" t="n">
        <x:f>Nguon!O158/Nguon!K158</x:f>
        <x:v>0.029365202284349516</x:v>
      </x:c>
      <x:c r="M157" s="2"/>
      <x:c r="N157" s="2"/>
      <x:c r="O157" s="2"/>
      <x:c r="P157" s="2"/>
      <x:c r="Q157" s="2"/>
      <x:c r="R157" s="2"/>
      <x:c r="S157" s="2"/>
      <x:c r="T157" s="2"/>
      <x:c r="U157" s="2"/>
    </x:row>
    <x:row r="158" ht="26" customHeight="1">
      <x:c r="A158" s="2" t="str">
        <x:v>E08000014</x:v>
      </x:c>
      <x:c r="B158" s="2" t="str">
        <x:v>Tiểu học</x:v>
      </x:c>
      <x:c r="C158" s="2" t="str">
        <x:v>Sefton</x:v>
      </x:c>
      <x:c r="D158" s="12" t="n">
        <x:f>Nguon!F159/Nguon!D159</x:f>
        <x:v>0.14889039855072464</x:v>
      </x:c>
      <x:c r="E158" s="12" t="n">
        <x:f>Nguon!G159/Nguon!E159</x:f>
        <x:v>0.14943571712130663</x:v>
      </x:c>
      <x:c r="F158" s="13" t="n">
        <x:f>(E158-D158)*100</x:f>
        <x:v>0.05453185705819874</x:v>
      </x:c>
      <x:c r="G158" s="12" t="n">
        <x:f>Nguon!H159/Nguon!D159</x:f>
        <x:v>0.006000905797101449</x:v>
      </x:c>
      <x:c r="H158" s="12" t="n">
        <x:f>Nguon!I159/Nguon!E159</x:f>
        <x:v>0.007315828276526966</x:v>
      </x:c>
      <x:c r="I158" s="13" t="n">
        <x:f>(H158-G158)*100</x:f>
        <x:v>0.1314922479425517</x:v>
      </x:c>
      <x:c r="J158" s="11" t="n">
        <x:f>Nguon!G159-Nguon!I159</x:f>
        <x:v>2506</x:v>
      </x:c>
      <x:c r="K158" s="12" t="n">
        <x:f>Nguon!N159/Nguon!K159</x:f>
        <x:v>0.03117236780826436</x:v>
      </x:c>
      <x:c r="L158" s="12" t="n">
        <x:f>Nguon!O159/Nguon!K159</x:f>
        <x:v>0.00554478270195282</x:v>
      </x:c>
      <x:c r="M158" s="2"/>
      <x:c r="N158" s="2"/>
      <x:c r="O158" s="2"/>
      <x:c r="P158" s="2"/>
      <x:c r="Q158" s="2"/>
      <x:c r="R158" s="2"/>
      <x:c r="S158" s="2"/>
      <x:c r="T158" s="2"/>
      <x:c r="U158" s="2"/>
    </x:row>
    <x:row r="159" ht="26" customHeight="1">
      <x:c r="A159" s="2" t="str">
        <x:v>E08000014</x:v>
      </x:c>
      <x:c r="B159" s="2" t="str">
        <x:v>Trung học</x:v>
      </x:c>
      <x:c r="C159" s="2" t="str">
        <x:v>Sefton</x:v>
      </x:c>
      <x:c r="D159" s="12" t="n">
        <x:f>Nguon!F160/Nguon!D160</x:f>
        <x:v>0.25437161907158135</x:v>
      </x:c>
      <x:c r="E159" s="12" t="n">
        <x:f>Nguon!G160/Nguon!E160</x:f>
        <x:v>0.27923462986198244</x:v>
      </x:c>
      <x:c r="F159" s="13" t="n">
        <x:f>(E159-D159)*100</x:f>
        <x:v>2.4863010790401097</x:v>
      </x:c>
      <x:c r="G159" s="12" t="n">
        <x:f>Nguon!H160/Nguon!D160</x:f>
        <x:v>0.0435274877343062</x:v>
      </x:c>
      <x:c r="H159" s="12" t="n">
        <x:f>Nguon!I160/Nguon!E160</x:f>
        <x:v>0.043224592220828105</x:v>
      </x:c>
      <x:c r="I159" s="13" t="n">
        <x:f>(H159-G159)*100</x:f>
        <x:v>-0.03028955134780978</x:v>
      </x:c>
      <x:c r="J159" s="11" t="n">
        <x:f>Nguon!G160-Nguon!I160</x:f>
        <x:v>3762</x:v>
      </x:c>
      <x:c r="K159" s="12" t="n">
        <x:f>Nguon!N160/Nguon!K160</x:f>
        <x:v>0.03958188240644095</x:v>
      </x:c>
      <x:c r="L159" s="12" t="n">
        <x:f>Nguon!O160/Nguon!K160</x:f>
        <x:v>0.033301345803695634</x:v>
      </x:c>
      <x:c r="M159" s="2"/>
      <x:c r="N159" s="2"/>
      <x:c r="O159" s="2"/>
      <x:c r="P159" s="2"/>
      <x:c r="Q159" s="2"/>
      <x:c r="R159" s="2"/>
      <x:c r="S159" s="2"/>
      <x:c r="T159" s="2"/>
      <x:c r="U159" s="2"/>
    </x:row>
    <x:row r="160" ht="26" customHeight="1">
      <x:c r="A160" s="2" t="str">
        <x:v>E08000015</x:v>
      </x:c>
      <x:c r="B160" s="2" t="str">
        <x:v>Tiểu học</x:v>
      </x:c>
      <x:c r="C160" s="2" t="str">
        <x:v>Wirral</x:v>
      </x:c>
      <x:c r="D160" s="12" t="n">
        <x:f>Nguon!F161/Nguon!D161</x:f>
        <x:v>0.15695754152505864</x:v>
      </x:c>
      <x:c r="E160" s="12" t="n">
        <x:f>Nguon!G161/Nguon!E161</x:f>
        <x:v>0.15905886928199894</x:v>
      </x:c>
      <x:c r="F160" s="13" t="n">
        <x:f>(E160-D160)*100</x:f>
        <x:v>0.21013277569403022</x:v>
      </x:c>
      <x:c r="G160" s="12" t="n">
        <x:f>Nguon!H161/Nguon!D161</x:f>
        <x:v>0.007515197932123881</x:v>
      </x:c>
      <x:c r="H160" s="12" t="n">
        <x:f>Nguon!I161/Nguon!E161</x:f>
        <x:v>0.007680715570463273</x:v>
      </x:c>
      <x:c r="I160" s="13" t="n">
        <x:f>(H160-G160)*100</x:f>
        <x:v>0.01655176383393922</x:v>
      </x:c>
      <x:c r="J160" s="11" t="n">
        <x:f>Nguon!G161-Nguon!I161</x:f>
        <x:v>3114</x:v>
      </x:c>
      <x:c r="K160" s="12" t="n">
        <x:f>Nguon!N161/Nguon!K161</x:f>
        <x:v>0.03186168717795852</x:v>
      </x:c>
      <x:c r="L160" s="12" t="n">
        <x:f>Nguon!O161/Nguon!K161</x:f>
        <x:v>0.007087339777711536</x:v>
      </x:c>
      <x:c r="M160" s="2"/>
      <x:c r="N160" s="2"/>
      <x:c r="O160" s="2"/>
      <x:c r="P160" s="2"/>
      <x:c r="Q160" s="2"/>
      <x:c r="R160" s="2"/>
      <x:c r="S160" s="2"/>
      <x:c r="T160" s="2"/>
      <x:c r="U160" s="2"/>
    </x:row>
    <x:row r="161" ht="26" customHeight="1">
      <x:c r="A161" s="2" t="str">
        <x:v>E08000015</x:v>
      </x:c>
      <x:c r="B161" s="2" t="str">
        <x:v>Trung học</x:v>
      </x:c>
      <x:c r="C161" s="2" t="str">
        <x:v>Wirral</x:v>
      </x:c>
      <x:c r="D161" s="12" t="n">
        <x:f>Nguon!F162/Nguon!D162</x:f>
        <x:v>0.2275993020630196</x:v>
      </x:c>
      <x:c r="E161" s="12" t="n">
        <x:f>Nguon!G162/Nguon!E162</x:f>
        <x:v>0.24252784252784254</x:v>
      </x:c>
      <x:c r="F161" s="13" t="n">
        <x:f>(E161-D161)*100</x:f>
        <x:v>1.4928540464822948</x:v>
      </x:c>
      <x:c r="G161" s="12" t="n">
        <x:f>Nguon!H162/Nguon!D162</x:f>
        <x:v>0.03551267576721749</x:v>
      </x:c>
      <x:c r="H161" s="12" t="n">
        <x:f>Nguon!I162/Nguon!E162</x:f>
        <x:v>0.031857031857031856</x:v>
      </x:c>
      <x:c r="I161" s="13" t="n">
        <x:f>(H161-G161)*100</x:f>
        <x:v>-0.36556439101856353</x:v>
      </x:c>
      <x:c r="J161" s="11" t="n">
        <x:f>Nguon!G162-Nguon!I162</x:f>
        <x:v>4067</x:v>
      </x:c>
      <x:c r="K161" s="12" t="n">
        <x:f>Nguon!N162/Nguon!K162</x:f>
        <x:v>0.04127666143993631</x:v>
      </x:c>
      <x:c r="L161" s="12" t="n">
        <x:f>Nguon!O162/Nguon!K162</x:f>
        <x:v>0.025955087319877758</x:v>
      </x:c>
      <x:c r="M161" s="2"/>
      <x:c r="N161" s="2"/>
      <x:c r="O161" s="2"/>
      <x:c r="P161" s="2"/>
      <x:c r="Q161" s="2"/>
      <x:c r="R161" s="2"/>
      <x:c r="S161" s="2"/>
      <x:c r="T161" s="2"/>
      <x:c r="U161" s="2"/>
    </x:row>
    <x:row r="162" ht="26" customHeight="1">
      <x:c r="A162" s="2" t="str">
        <x:v>E08000016</x:v>
      </x:c>
      <x:c r="B162" s="2" t="str">
        <x:v>Tiểu học</x:v>
      </x:c>
      <x:c r="C162" s="2" t="str">
        <x:v>Barnsley</x:v>
      </x:c>
      <x:c r="D162" s="12" t="n">
        <x:f>Nguon!F163/Nguon!D163</x:f>
        <x:v>0.1471601711026616</x:v>
      </x:c>
      <x:c r="E162" s="12" t="n">
        <x:f>Nguon!G163/Nguon!E163</x:f>
        <x:v>0.15641286766908286</x:v>
      </x:c>
      <x:c r="F162" s="13" t="n">
        <x:f>(E162-D162)*100</x:f>
        <x:v>0.9252696566421248</x:v>
      </x:c>
      <x:c r="G162" s="12" t="n">
        <x:f>Nguon!H163/Nguon!D163</x:f>
        <x:v>0.00903041825095057</x:v>
      </x:c>
      <x:c r="H162" s="12" t="n">
        <x:f>Nguon!I163/Nguon!E163</x:f>
        <x:v>0.009824477325825197</x:v>
      </x:c>
      <x:c r="I162" s="13" t="n">
        <x:f>(H162-G162)*100</x:f>
        <x:v>0.0794059074874627</x:v>
      </x:c>
      <x:c r="J162" s="11" t="n">
        <x:f>Nguon!G163-Nguon!I163</x:f>
        <x:v>2447</x:v>
      </x:c>
      <x:c r="K162" s="12" t="n">
        <x:f>Nguon!N163/Nguon!K163</x:f>
        <x:v>0.028605626284565186</x:v>
      </x:c>
      <x:c r="L162" s="12" t="n">
        <x:f>Nguon!O163/Nguon!K163</x:f>
        <x:v>0.008039904094252375</x:v>
      </x:c>
      <x:c r="M162" s="2"/>
      <x:c r="N162" s="2"/>
      <x:c r="O162" s="2"/>
      <x:c r="P162" s="2"/>
      <x:c r="Q162" s="2"/>
      <x:c r="R162" s="2"/>
      <x:c r="S162" s="2"/>
      <x:c r="T162" s="2"/>
      <x:c r="U162" s="2"/>
    </x:row>
    <x:row r="163" ht="26" customHeight="1">
      <x:c r="A163" s="2" t="str">
        <x:v>E08000016</x:v>
      </x:c>
      <x:c r="B163" s="2" t="str">
        <x:v>Trung học</x:v>
      </x:c>
      <x:c r="C163" s="2" t="str">
        <x:v>Barnsley</x:v>
      </x:c>
      <x:c r="D163" s="12" t="n">
        <x:f>Nguon!F164/Nguon!D164</x:f>
        <x:v>0.24238706884110262</x:v>
      </x:c>
      <x:c r="E163" s="12" t="n">
        <x:f>Nguon!G164/Nguon!E164</x:f>
        <x:v>0.2698206956146036</x:v>
      </x:c>
      <x:c r="F163" s="13" t="n">
        <x:f>(E163-D163)*100</x:f>
        <x:v>2.743362677350097</x:v>
      </x:c>
      <x:c r="G163" s="12" t="n">
        <x:f>Nguon!H164/Nguon!D164</x:f>
        <x:v>0.045244624043873576</x:v>
      </x:c>
      <x:c r="H163" s="12" t="n">
        <x:f>Nguon!I164/Nguon!E164</x:f>
        <x:v>0.05091092388564845</x:v>
      </x:c>
      <x:c r="I163" s="13" t="n">
        <x:f>(H163-G163)*100</x:f>
        <x:v>0.5666299841774871</x:v>
      </x:c>
      <x:c r="J163" s="11" t="n">
        <x:f>Nguon!G164-Nguon!I164</x:f>
        <x:v>3040</x:v>
      </x:c>
      <x:c r="K163" s="12" t="n">
        <x:f>Nguon!N164/Nguon!K164</x:f>
        <x:v>0.039142143876681613</x:v>
      </x:c>
      <x:c r="L163" s="12" t="n">
        <x:f>Nguon!O164/Nguon!K164</x:f>
        <x:v>0.03201635625590699</x:v>
      </x:c>
      <x:c r="M163" s="2"/>
      <x:c r="N163" s="2"/>
      <x:c r="O163" s="2"/>
      <x:c r="P163" s="2"/>
      <x:c r="Q163" s="2"/>
      <x:c r="R163" s="2"/>
      <x:c r="S163" s="2"/>
      <x:c r="T163" s="2"/>
      <x:c r="U163" s="2"/>
    </x:row>
    <x:row r="164" ht="26" customHeight="1">
      <x:c r="A164" s="2" t="str">
        <x:v>E08000017</x:v>
      </x:c>
      <x:c r="B164" s="2" t="str">
        <x:v>Tiểu học</x:v>
      </x:c>
      <x:c r="C164" s="2" t="str">
        <x:v>Doncaster</x:v>
      </x:c>
      <x:c r="D164" s="12" t="n">
        <x:f>Nguon!F165/Nguon!D165</x:f>
        <x:v>0.15267519365880022</x:v>
      </x:c>
      <x:c r="E164" s="12" t="n">
        <x:f>Nguon!G165/Nguon!E165</x:f>
        <x:v>0.1552939077691553</x:v>
      </x:c>
      <x:c r="F164" s="13" t="n">
        <x:f>(E164-D164)*100</x:f>
        <x:v>0.26187141103550804</x:v>
      </x:c>
      <x:c r="G164" s="12" t="n">
        <x:f>Nguon!H165/Nguon!D165</x:f>
        <x:v>0.00702576112412178</x:v>
      </x:c>
      <x:c r="H164" s="12" t="n">
        <x:f>Nguon!I165/Nguon!E165</x:f>
        <x:v>0.008652216573008652</x:v>
      </x:c>
      <x:c r="I164" s="13" t="n">
        <x:f>(H164-G164)*100</x:f>
        <x:v>0.16264554488868718</x:v>
      </x:c>
      <x:c r="J164" s="11" t="n">
        <x:f>Nguon!G165-Nguon!I165</x:f>
        <x:v>3288</x:v>
      </x:c>
      <x:c r="K164" s="12" t="n">
        <x:f>Nguon!N165/Nguon!K165</x:f>
        <x:v>0.028185007294775192</x:v>
      </x:c>
      <x:c r="L164" s="12" t="n">
        <x:f>Nguon!O165/Nguon!K165</x:f>
        <x:v>0.0071844260592644595</x:v>
      </x:c>
      <x:c r="M164" s="2"/>
      <x:c r="N164" s="2"/>
      <x:c r="O164" s="2"/>
      <x:c r="P164" s="2"/>
      <x:c r="Q164" s="2"/>
      <x:c r="R164" s="2"/>
      <x:c r="S164" s="2"/>
      <x:c r="T164" s="2"/>
      <x:c r="U164" s="2"/>
    </x:row>
    <x:row r="165" ht="26" customHeight="1">
      <x:c r="A165" s="2" t="str">
        <x:v>E08000017</x:v>
      </x:c>
      <x:c r="B165" s="2" t="str">
        <x:v>Trung học</x:v>
      </x:c>
      <x:c r="C165" s="2" t="str">
        <x:v>Doncaster</x:v>
      </x:c>
      <x:c r="D165" s="12" t="n">
        <x:f>Nguon!F166/Nguon!D166</x:f>
        <x:v>0.22127682933523632</x:v>
      </x:c>
      <x:c r="E165" s="12" t="n">
        <x:f>Nguon!G166/Nguon!E166</x:f>
        <x:v>0.22519546305472965</x:v>
      </x:c>
      <x:c r="F165" s="13" t="n">
        <x:f>(E165-D165)*100</x:f>
        <x:v>0.3918633719493331</x:v>
      </x:c>
      <x:c r="G165" s="12" t="n">
        <x:f>Nguon!H166/Nguon!D166</x:f>
        <x:v>0.03348520612614591</x:v>
      </x:c>
      <x:c r="H165" s="12" t="n">
        <x:f>Nguon!I166/Nguon!E166</x:f>
        <x:v>0.037055390375509305</x:v>
      </x:c>
      <x:c r="I165" s="13" t="n">
        <x:f>(H165-G165)*100</x:f>
        <x:v>0.3570184249363395</x:v>
      </x:c>
      <x:c r="J165" s="11" t="n">
        <x:f>Nguon!G166-Nguon!I166</x:f>
        <x:v>3417</x:v>
      </x:c>
      <x:c r="K165" s="12" t="n">
        <x:f>Nguon!N166/Nguon!K166</x:f>
        <x:v>0.03127074893839835</x:v>
      </x:c>
      <x:c r="L165" s="12" t="n">
        <x:f>Nguon!O166/Nguon!K166</x:f>
        <x:v>0.026703820881188688</x:v>
      </x:c>
      <x:c r="M165" s="2"/>
      <x:c r="N165" s="2"/>
      <x:c r="O165" s="2"/>
      <x:c r="P165" s="2"/>
      <x:c r="Q165" s="2"/>
      <x:c r="R165" s="2"/>
      <x:c r="S165" s="2"/>
      <x:c r="T165" s="2"/>
      <x:c r="U165" s="2"/>
    </x:row>
    <x:row r="166" ht="26" customHeight="1">
      <x:c r="A166" s="2" t="str">
        <x:v>E08000018</x:v>
      </x:c>
      <x:c r="B166" s="2" t="str">
        <x:v>Tiểu học</x:v>
      </x:c>
      <x:c r="C166" s="2" t="str">
        <x:v>Rotherham</x:v>
      </x:c>
      <x:c r="D166" s="12" t="n">
        <x:f>Nguon!F167/Nguon!D167</x:f>
        <x:v>0.1627541449069614</x:v>
      </x:c>
      <x:c r="E166" s="12" t="n">
        <x:f>Nguon!G167/Nguon!E167</x:f>
        <x:v>0.17089974293059126</x:v>
      </x:c>
      <x:c r="F166" s="13" t="n">
        <x:f>(E166-D166)*100</x:f>
        <x:v>0.8145598023629852</x:v>
      </x:c>
      <x:c r="G166" s="12" t="n">
        <x:f>Nguon!H167/Nguon!D167</x:f>
        <x:v>0.011661511940374182</x:v>
      </x:c>
      <x:c r="H166" s="12" t="n">
        <x:f>Nguon!I167/Nguon!E167</x:f>
        <x:v>0.011825192802056555</x:v>
      </x:c>
      <x:c r="I166" s="13" t="n">
        <x:f>(H166-G166)*100</x:f>
        <x:v>0.01636808616823724</x:v>
      </x:c>
      <x:c r="J166" s="11" t="n">
        <x:f>Nguon!G167-Nguon!I167</x:f>
        <x:v>3094</x:v>
      </x:c>
      <x:c r="K166" s="12" t="n">
        <x:f>Nguon!N167/Nguon!K167</x:f>
        <x:v>0.030008620488805014</x:v>
      </x:c>
      <x:c r="L166" s="12" t="n">
        <x:f>Nguon!O167/Nguon!K167</x:f>
        <x:v>0.008485065585610773</x:v>
      </x:c>
      <x:c r="M166" s="2"/>
      <x:c r="N166" s="2"/>
      <x:c r="O166" s="2"/>
      <x:c r="P166" s="2"/>
      <x:c r="Q166" s="2"/>
      <x:c r="R166" s="2"/>
      <x:c r="S166" s="2"/>
      <x:c r="T166" s="2"/>
      <x:c r="U166" s="2"/>
    </x:row>
    <x:row r="167" ht="26" customHeight="1">
      <x:c r="A167" s="2" t="str">
        <x:v>E08000018</x:v>
      </x:c>
      <x:c r="B167" s="2" t="str">
        <x:v>Trung học</x:v>
      </x:c>
      <x:c r="C167" s="2" t="str">
        <x:v>Rotherham</x:v>
      </x:c>
      <x:c r="D167" s="12" t="n">
        <x:f>Nguon!F168/Nguon!D168</x:f>
        <x:v>0.2461692762021508</x:v>
      </x:c>
      <x:c r="E167" s="12" t="n">
        <x:f>Nguon!G168/Nguon!E168</x:f>
        <x:v>0.23549006323396568</x:v>
      </x:c>
      <x:c r="F167" s="13" t="n">
        <x:f>(E167-D167)*100</x:f>
        <x:v>-1.0679212968185108</x:v>
      </x:c>
      <x:c r="G167" s="12" t="n">
        <x:f>Nguon!H168/Nguon!D168</x:f>
        <x:v>0.04045244330528779</x:v>
      </x:c>
      <x:c r="H167" s="12" t="n">
        <x:f>Nguon!I168/Nguon!E168</x:f>
        <x:v>0.037149954832881665</x:v>
      </x:c>
      <x:c r="I167" s="13" t="n">
        <x:f>(H167-G167)*100</x:f>
        <x:v>-0.33024884724061276</x:v>
      </x:c>
      <x:c r="J167" s="11" t="n">
        <x:f>Nguon!G168-Nguon!I168</x:f>
        <x:v>3513</x:v>
      </x:c>
      <x:c r="K167" s="12" t="n">
        <x:f>Nguon!N168/Nguon!K168</x:f>
        <x:v>0.027832484678157864</x:v>
      </x:c>
      <x:c r="L167" s="12" t="n">
        <x:f>Nguon!O168/Nguon!K168</x:f>
        <x:v>0.035065190471843165</x:v>
      </x:c>
      <x:c r="M167" s="2"/>
      <x:c r="N167" s="2"/>
      <x:c r="O167" s="2"/>
      <x:c r="P167" s="2"/>
      <x:c r="Q167" s="2"/>
      <x:c r="R167" s="2"/>
      <x:c r="S167" s="2"/>
      <x:c r="T167" s="2"/>
      <x:c r="U167" s="2"/>
    </x:row>
    <x:row r="168" ht="26" customHeight="1">
      <x:c r="A168" s="2" t="str">
        <x:v>E08000019</x:v>
      </x:c>
      <x:c r="B168" s="2" t="str">
        <x:v>Tiểu học</x:v>
      </x:c>
      <x:c r="C168" s="2" t="str">
        <x:v>Sheffield</x:v>
      </x:c>
      <x:c r="D168" s="12" t="n">
        <x:f>Nguon!F169/Nguon!D169</x:f>
        <x:v>0.16470864661654136</x:v>
      </x:c>
      <x:c r="E168" s="12" t="n">
        <x:f>Nguon!G169/Nguon!E169</x:f>
        <x:v>0.16597973781476852</x:v>
      </x:c>
      <x:c r="F168" s="13" t="n">
        <x:f>(E168-D168)*100</x:f>
        <x:v>0.1271091198227159</x:v>
      </x:c>
      <x:c r="G168" s="12" t="n">
        <x:f>Nguon!H169/Nguon!D169</x:f>
        <x:v>0.013810568086883876</x:v>
      </x:c>
      <x:c r="H168" s="12" t="n">
        <x:f>Nguon!I169/Nguon!E169</x:f>
        <x:v>0.014226074932858244</x:v>
      </x:c>
      <x:c r="I168" s="13" t="n">
        <x:f>(H168-G168)*100</x:f>
        <x:v>0.04155068459743682</x:v>
      </x:c>
      <x:c r="J168" s="11" t="n">
        <x:f>Nguon!G169-Nguon!I169</x:f>
        <x:v>5707</x:v>
      </x:c>
      <x:c r="K168" s="12" t="n">
        <x:f>Nguon!N169/Nguon!K169</x:f>
        <x:v>0.029123800161579182</x:v>
      </x:c>
      <x:c r="L168" s="12" t="n">
        <x:f>Nguon!O169/Nguon!K169</x:f>
        <x:v>0.01007873689523153</x:v>
      </x:c>
      <x:c r="M168" s="2"/>
      <x:c r="N168" s="2"/>
      <x:c r="O168" s="2"/>
      <x:c r="P168" s="2"/>
      <x:c r="Q168" s="2"/>
      <x:c r="R168" s="2"/>
      <x:c r="S168" s="2"/>
      <x:c r="T168" s="2"/>
      <x:c r="U168" s="2"/>
    </x:row>
    <x:row r="169" ht="26" customHeight="1">
      <x:c r="A169" s="2" t="str">
        <x:v>E08000019</x:v>
      </x:c>
      <x:c r="B169" s="2" t="str">
        <x:v>Trung học</x:v>
      </x:c>
      <x:c r="C169" s="2" t="str">
        <x:v>Sheffield</x:v>
      </x:c>
      <x:c r="D169" s="12" t="n">
        <x:f>Nguon!F170/Nguon!D170</x:f>
        <x:v>0.23723853239271742</x:v>
      </x:c>
      <x:c r="E169" s="12" t="n">
        <x:f>Nguon!G170/Nguon!E170</x:f>
        <x:v>0.24716518541219737</x:v>
      </x:c>
      <x:c r="F169" s="13" t="n">
        <x:f>(E169-D169)*100</x:f>
        <x:v>0.9926653019479953</x:v>
      </x:c>
      <x:c r="G169" s="12" t="n">
        <x:f>Nguon!H170/Nguon!D170</x:f>
        <x:v>0.04211207294907735</x:v>
      </x:c>
      <x:c r="H169" s="12" t="n">
        <x:f>Nguon!I170/Nguon!E170</x:f>
        <x:v>0.04609255286546123</x:v>
      </x:c>
      <x:c r="I169" s="13" t="n">
        <x:f>(H169-G169)*100</x:f>
        <x:v>0.39804799163838805</x:v>
      </x:c>
      <x:c r="J169" s="11" t="n">
        <x:f>Nguon!G170-Nguon!I170</x:f>
        <x:v>6561</x:v>
      </x:c>
      <x:c r="K169" s="12" t="n">
        <x:f>Nguon!N170/Nguon!K170</x:f>
        <x:v>0.0313536402179738</x:v>
      </x:c>
      <x:c r="L169" s="12" t="n">
        <x:f>Nguon!O170/Nguon!K170</x:f>
        <x:v>0.0353174102593695</x:v>
      </x:c>
      <x:c r="M169" s="2"/>
      <x:c r="N169" s="2"/>
      <x:c r="O169" s="2"/>
      <x:c r="P169" s="2"/>
      <x:c r="Q169" s="2"/>
      <x:c r="R169" s="2"/>
      <x:c r="S169" s="2"/>
      <x:c r="T169" s="2"/>
      <x:c r="U169" s="2"/>
    </x:row>
    <x:row r="170" ht="26" customHeight="1">
      <x:c r="A170" s="2" t="str">
        <x:v>E08000021</x:v>
      </x:c>
      <x:c r="B170" s="2" t="str">
        <x:v>Tiểu học</x:v>
      </x:c>
      <x:c r="C170" s="2" t="str">
        <x:v>Newcastle upon Tyne</x:v>
      </x:c>
      <x:c r="D170" s="12" t="n">
        <x:f>Nguon!F171/Nguon!D171</x:f>
        <x:v>0.15163084978728048</x:v>
      </x:c>
      <x:c r="E170" s="12" t="n">
        <x:f>Nguon!G171/Nguon!E171</x:f>
        <x:v>0.15808052950910093</x:v>
      </x:c>
      <x:c r="F170" s="13" t="n">
        <x:f>(E170-D170)*100</x:f>
        <x:v>0.644967972182045</x:v>
      </x:c>
      <x:c r="G170" s="12" t="n">
        <x:f>Nguon!H171/Nguon!D171</x:f>
        <x:v>0.007799716373950038</x:v>
      </x:c>
      <x:c r="H170" s="12" t="n">
        <x:f>Nguon!I171/Nguon!E171</x:f>
        <x:v>0.007997793712079426</x:v>
      </x:c>
      <x:c r="I170" s="13" t="n">
        <x:f>(H170-G170)*100</x:f>
        <x:v>0.019807733812938783</x:v>
      </x:c>
      <x:c r="J170" s="11" t="n">
        <x:f>Nguon!G171-Nguon!I171</x:f>
        <x:v>2721</x:v>
      </x:c>
      <x:c r="K170" s="12" t="n">
        <x:f>Nguon!N171/Nguon!K171</x:f>
        <x:v>0.029257563079862006</x:v>
      </x:c>
      <x:c r="L170" s="12" t="n">
        <x:f>Nguon!O171/Nguon!K171</x:f>
        <x:v>0.009650922828726793</x:v>
      </x:c>
      <x:c r="M170" s="2"/>
      <x:c r="N170" s="2"/>
      <x:c r="O170" s="2"/>
      <x:c r="P170" s="2"/>
      <x:c r="Q170" s="2"/>
      <x:c r="R170" s="2"/>
      <x:c r="S170" s="2"/>
      <x:c r="T170" s="2"/>
      <x:c r="U170" s="2"/>
    </x:row>
    <x:row r="171" ht="26" customHeight="1">
      <x:c r="A171" s="2" t="str">
        <x:v>E08000021</x:v>
      </x:c>
      <x:c r="B171" s="2" t="str">
        <x:v>Trung học</x:v>
      </x:c>
      <x:c r="C171" s="2" t="str">
        <x:v>Newcastle upon Tyne</x:v>
      </x:c>
      <x:c r="D171" s="12" t="n">
        <x:f>Nguon!F172/Nguon!D172</x:f>
        <x:v>0.23551583682898655</x:v>
      </x:c>
      <x:c r="E171" s="12" t="n">
        <x:f>Nguon!G172/Nguon!E172</x:f>
        <x:v>0.23188230308167343</x:v>
      </x:c>
      <x:c r="F171" s="13" t="n">
        <x:f>(E171-D171)*100</x:f>
        <x:v>-0.36335337473131224</x:v>
      </x:c>
      <x:c r="G171" s="12" t="n">
        <x:f>Nguon!H172/Nguon!D172</x:f>
        <x:v>0.042251808620584835</x:v>
      </x:c>
      <x:c r="H171" s="12" t="n">
        <x:f>Nguon!I172/Nguon!E172</x:f>
        <x:v>0.041956771810861535</x:v>
      </x:c>
      <x:c r="I171" s="13" t="n">
        <x:f>(H171-G171)*100</x:f>
        <x:v>-0.029503680972330082</x:v>
      </x:c>
      <x:c r="J171" s="11" t="n">
        <x:f>Nguon!G172-Nguon!I172</x:f>
        <x:v>3137</x:v>
      </x:c>
      <x:c r="K171" s="12" t="n">
        <x:f>Nguon!N172/Nguon!K172</x:f>
        <x:v>0.028218675891243616</x:v>
      </x:c>
      <x:c r="L171" s="12" t="n">
        <x:f>Nguon!O172/Nguon!K172</x:f>
        <x:v>0.04089672537569976</x:v>
      </x:c>
      <x:c r="M171" s="2"/>
      <x:c r="N171" s="2"/>
      <x:c r="O171" s="2"/>
      <x:c r="P171" s="2"/>
      <x:c r="Q171" s="2"/>
      <x:c r="R171" s="2"/>
      <x:c r="S171" s="2"/>
      <x:c r="T171" s="2"/>
      <x:c r="U171" s="2"/>
    </x:row>
    <x:row r="172" ht="26" customHeight="1">
      <x:c r="A172" s="2" t="str">
        <x:v>E08000022</x:v>
      </x:c>
      <x:c r="B172" s="2" t="str">
        <x:v>Tiểu học</x:v>
      </x:c>
      <x:c r="C172" s="2" t="str">
        <x:v>North Tyneside</x:v>
      </x:c>
      <x:c r="D172" s="12" t="n">
        <x:f>Nguon!F173/Nguon!D173</x:f>
        <x:v>0.1330932307440452</x:v>
      </x:c>
      <x:c r="E172" s="12" t="n">
        <x:f>Nguon!G173/Nguon!E173</x:f>
        <x:v>0.14479070933244215</x:v>
      </x:c>
      <x:c r="F172" s="13" t="n">
        <x:f>(E172-D172)*100</x:f>
        <x:v>1.1697478588396955</x:v>
      </x:c>
      <x:c r="G172" s="12" t="n">
        <x:f>Nguon!H173/Nguon!D173</x:f>
        <x:v>0.005975280347057379</x:v>
      </x:c>
      <x:c r="H172" s="12" t="n">
        <x:f>Nguon!I173/Nguon!E173</x:f>
        <x:v>0.005096499289832066</x:v>
      </x:c>
      <x:c r="I172" s="13" t="n">
        <x:f>(H172-G172)*100</x:f>
        <x:v>-0.08787810572253126</x:v>
      </x:c>
      <x:c r="J172" s="11" t="n">
        <x:f>Nguon!G173-Nguon!I173</x:f>
        <x:v>1672</x:v>
      </x:c>
      <x:c r="K172" s="12" t="n">
        <x:f>Nguon!N173/Nguon!K173</x:f>
        <x:v>0.029875034683744816</x:v>
      </x:c>
      <x:c r="L172" s="12" t="n">
        <x:f>Nguon!O173/Nguon!K173</x:f>
        <x:v>0.005254046533038827</x:v>
      </x:c>
      <x:c r="M172" s="2"/>
      <x:c r="N172" s="2"/>
      <x:c r="O172" s="2"/>
      <x:c r="P172" s="2"/>
      <x:c r="Q172" s="2"/>
      <x:c r="R172" s="2"/>
      <x:c r="S172" s="2"/>
      <x:c r="T172" s="2"/>
      <x:c r="U172" s="2"/>
    </x:row>
    <x:row r="173" ht="26" customHeight="1">
      <x:c r="A173" s="2" t="str">
        <x:v>E08000022</x:v>
      </x:c>
      <x:c r="B173" s="2" t="str">
        <x:v>Trung học</x:v>
      </x:c>
      <x:c r="C173" s="2" t="str">
        <x:v>North Tyneside</x:v>
      </x:c>
      <x:c r="D173" s="12" t="n">
        <x:f>Nguon!F174/Nguon!D174</x:f>
        <x:v>0.19846906565656566</x:v>
      </x:c>
      <x:c r="E173" s="12" t="n">
        <x:f>Nguon!G174/Nguon!E174</x:f>
        <x:v>0.21586042823156226</x:v>
      </x:c>
      <x:c r="F173" s="13" t="n">
        <x:f>(E173-D173)*100</x:f>
        <x:v>1.73913625749966</x:v>
      </x:c>
      <x:c r="G173" s="12" t="n">
        <x:f>Nguon!H174/Nguon!D174</x:f>
        <x:v>0.027462121212121212</x:v>
      </x:c>
      <x:c r="H173" s="12" t="n">
        <x:f>Nguon!I174/Nguon!E174</x:f>
        <x:v>0.02704203013481364</x:v>
      </x:c>
      <x:c r="I173" s="13" t="n">
        <x:f>(H173-G173)*100</x:f>
        <x:v>-0.0420091077307571</x:v>
      </x:c>
      <x:c r="J173" s="11" t="n">
        <x:f>Nguon!G174-Nguon!I174</x:f>
        <x:v>2381</x:v>
      </x:c>
      <x:c r="K173" s="12" t="n">
        <x:f>Nguon!N174/Nguon!K174</x:f>
        <x:v>0.03794021647213243</x:v>
      </x:c>
      <x:c r="L173" s="12" t="n">
        <x:f>Nguon!O174/Nguon!K174</x:f>
        <x:v>0.020312734411742066</x:v>
      </x:c>
      <x:c r="M173" s="2"/>
      <x:c r="N173" s="2"/>
      <x:c r="O173" s="2"/>
      <x:c r="P173" s="2"/>
      <x:c r="Q173" s="2"/>
      <x:c r="R173" s="2"/>
      <x:c r="S173" s="2"/>
      <x:c r="T173" s="2"/>
      <x:c r="U173" s="2"/>
    </x:row>
    <x:row r="174" ht="26" customHeight="1">
      <x:c r="A174" s="2" t="str">
        <x:v>E08000023</x:v>
      </x:c>
      <x:c r="B174" s="2" t="str">
        <x:v>Tiểu học</x:v>
      </x:c>
      <x:c r="C174" s="2" t="str">
        <x:v>South Tyneside</x:v>
      </x:c>
      <x:c r="D174" s="12" t="n">
        <x:f>Nguon!F175/Nguon!D175</x:f>
        <x:v>0.1606928313976772</x:v>
      </x:c>
      <x:c r="E174" s="12" t="n">
        <x:f>Nguon!G175/Nguon!E175</x:f>
        <x:v>0.16940504133074805</x:v>
      </x:c>
      <x:c r="F174" s="13" t="n">
        <x:f>(E174-D174)*100</x:f>
        <x:v>0.8712209933070841</x:v>
      </x:c>
      <x:c r="G174" s="12" t="n">
        <x:f>Nguon!H175/Nguon!D175</x:f>
        <x:v>0.0062074489387264715</x:v>
      </x:c>
      <x:c r="H174" s="12" t="n">
        <x:f>Nguon!I175/Nguon!E175</x:f>
        <x:v>0.007551790999081539</x:v>
      </x:c>
      <x:c r="I174" s="13" t="n">
        <x:f>(H174-G174)*100</x:f>
        <x:v>0.13443420603550674</x:v>
      </x:c>
      <x:c r="J174" s="11" t="n">
        <x:f>Nguon!G175-Nguon!I175</x:f>
        <x:v>1586</x:v>
      </x:c>
      <x:c r="K174" s="12" t="n">
        <x:f>Nguon!N175/Nguon!K175</x:f>
        <x:v>0.0348049456602207</x:v>
      </x:c>
      <x:c r="L174" s="12" t="n">
        <x:f>Nguon!O175/Nguon!K175</x:f>
        <x:v>0.004973855556287595</x:v>
      </x:c>
      <x:c r="M174" s="2"/>
      <x:c r="N174" s="2"/>
      <x:c r="O174" s="2"/>
      <x:c r="P174" s="2"/>
      <x:c r="Q174" s="2"/>
      <x:c r="R174" s="2"/>
      <x:c r="S174" s="2"/>
      <x:c r="T174" s="2"/>
      <x:c r="U174" s="2"/>
    </x:row>
    <x:row r="175" ht="26" customHeight="1">
      <x:c r="A175" s="2" t="str">
        <x:v>E08000023</x:v>
      </x:c>
      <x:c r="B175" s="2" t="str">
        <x:v>Trung học</x:v>
      </x:c>
      <x:c r="C175" s="2" t="str">
        <x:v>South Tyneside</x:v>
      </x:c>
      <x:c r="D175" s="12" t="n">
        <x:f>Nguon!F176/Nguon!D176</x:f>
        <x:v>0.25329577464788733</x:v>
      </x:c>
      <x:c r="E175" s="12" t="n">
        <x:f>Nguon!G176/Nguon!E176</x:f>
        <x:v>0.2792607802874743</x:v>
      </x:c>
      <x:c r="F175" s="13" t="n">
        <x:f>(E175-D175)*100</x:f>
        <x:v>2.596500563958698</x:v>
      </x:c>
      <x:c r="G175" s="12" t="n">
        <x:f>Nguon!H176/Nguon!D176</x:f>
        <x:v>0.03819718309859155</x:v>
      </x:c>
      <x:c r="H175" s="12" t="n">
        <x:f>Nguon!I176/Nguon!E176</x:f>
        <x:v>0.04152407027150354</x:v>
      </x:c>
      <x:c r="I175" s="13" t="n">
        <x:f>(H175-G175)*100</x:f>
        <x:v>0.3326887172911991</x:v>
      </x:c>
      <x:c r="J175" s="11" t="n">
        <x:f>Nguon!G176-Nguon!I176</x:f>
        <x:v>2084</x:v>
      </x:c>
      <x:c r="K175" s="12" t="n">
        <x:f>Nguon!N176/Nguon!K176</x:f>
        <x:v>0.05443168991381198</x:v>
      </x:c>
      <x:c r="L175" s="12" t="n">
        <x:f>Nguon!O176/Nguon!K176</x:f>
        <x:v>0.0210060574818425</x:v>
      </x:c>
      <x:c r="M175" s="2"/>
      <x:c r="N175" s="2"/>
      <x:c r="O175" s="2"/>
      <x:c r="P175" s="2"/>
      <x:c r="Q175" s="2"/>
      <x:c r="R175" s="2"/>
      <x:c r="S175" s="2"/>
      <x:c r="T175" s="2"/>
      <x:c r="U175" s="2"/>
    </x:row>
    <x:row r="176" ht="26" customHeight="1">
      <x:c r="A176" s="2" t="str">
        <x:v>E08000024</x:v>
      </x:c>
      <x:c r="B176" s="2" t="str">
        <x:v>Tiểu học</x:v>
      </x:c>
      <x:c r="C176" s="2" t="str">
        <x:v>Sunderland</x:v>
      </x:c>
      <x:c r="D176" s="12" t="n">
        <x:f>Nguon!F177/Nguon!D177</x:f>
        <x:v>0.16755823024629443</x:v>
      </x:c>
      <x:c r="E176" s="12" t="n">
        <x:f>Nguon!G177/Nguon!E177</x:f>
        <x:v>0.16908707785181387</x:v>
      </x:c>
      <x:c r="F176" s="13" t="n">
        <x:f>(E176-D176)*100</x:f>
        <x:v>0.152884760551944</x:v>
      </x:c>
      <x:c r="G176" s="12" t="n">
        <x:f>Nguon!H177/Nguon!D177</x:f>
        <x:v>0.006463835952301348</x:v>
      </x:c>
      <x:c r="H176" s="12" t="n">
        <x:f>Nguon!I177/Nguon!E177</x:f>
        <x:v>0.009055185375021356</x:v>
      </x:c>
      <x:c r="I176" s="13" t="n">
        <x:f>(H176-G176)*100</x:f>
        <x:v>0.2591349422720008</x:v>
      </x:c>
      <x:c r="J176" s="11" t="n">
        <x:f>Nguon!G177-Nguon!I177</x:f>
        <x:v>2810</x:v>
      </x:c>
      <x:c r="K176" s="12" t="n">
        <x:f>Nguon!N177/Nguon!K177</x:f>
        <x:v>0.03114376526811268</x:v>
      </x:c>
      <x:c r="L176" s="12" t="n">
        <x:f>Nguon!O177/Nguon!K177</x:f>
        <x:v>0.006923119595165158</x:v>
      </x:c>
      <x:c r="M176" s="2"/>
      <x:c r="N176" s="2"/>
      <x:c r="O176" s="2"/>
      <x:c r="P176" s="2"/>
      <x:c r="Q176" s="2"/>
      <x:c r="R176" s="2"/>
      <x:c r="S176" s="2"/>
      <x:c r="T176" s="2"/>
      <x:c r="U176" s="2"/>
    </x:row>
    <x:row r="177" ht="26" customHeight="1">
      <x:c r="A177" s="2" t="str">
        <x:v>E08000024</x:v>
      </x:c>
      <x:c r="B177" s="2" t="str">
        <x:v>Trung học</x:v>
      </x:c>
      <x:c r="C177" s="2" t="str">
        <x:v>Sunderland</x:v>
      </x:c>
      <x:c r="D177" s="12" t="n">
        <x:f>Nguon!F178/Nguon!D178</x:f>
        <x:v>0.266449020592667</x:v>
      </x:c>
      <x:c r="E177" s="12" t="n">
        <x:f>Nguon!G178/Nguon!E178</x:f>
        <x:v>0.2798448133307893</x:v>
      </x:c>
      <x:c r="F177" s="13" t="n">
        <x:f>(E177-D177)*100</x:f>
        <x:v>1.3395792738122303</x:v>
      </x:c>
      <x:c r="G177" s="12" t="n">
        <x:f>Nguon!H178/Nguon!D178</x:f>
        <x:v>0.043194374686087396</x:v>
      </x:c>
      <x:c r="H177" s="12" t="n">
        <x:f>Nguon!I178/Nguon!E178</x:f>
        <x:v>0.04337594606627234</x:v>
      </x:c>
      <x:c r="I177" s="13" t="n">
        <x:f>(H177-G177)*100</x:f>
        <x:v>0.018157138018494445</x:v>
      </x:c>
      <x:c r="J177" s="11" t="n">
        <x:f>Nguon!G178-Nguon!I178</x:f>
        <x:v>3718</x:v>
      </x:c>
      <x:c r="K177" s="12" t="n">
        <x:f>Nguon!N178/Nguon!K178</x:f>
        <x:v>0.035634254888487045</x:v>
      </x:c>
      <x:c r="L177" s="12" t="n">
        <x:f>Nguon!O178/Nguon!K178</x:f>
        <x:v>0.038731382781183474</x:v>
      </x:c>
      <x:c r="M177" s="2"/>
      <x:c r="N177" s="2"/>
      <x:c r="O177" s="2"/>
      <x:c r="P177" s="2"/>
      <x:c r="Q177" s="2"/>
      <x:c r="R177" s="2"/>
      <x:c r="S177" s="2"/>
      <x:c r="T177" s="2"/>
      <x:c r="U177" s="2"/>
    </x:row>
    <x:row r="178" ht="26" customHeight="1">
      <x:c r="A178" s="2" t="str">
        <x:v>E08000025</x:v>
      </x:c>
      <x:c r="B178" s="2" t="str">
        <x:v>Tiểu học</x:v>
      </x:c>
      <x:c r="C178" s="2" t="str">
        <x:v>Birmingham</x:v>
      </x:c>
      <x:c r="D178" s="12" t="n">
        <x:f>Nguon!F179/Nguon!D179</x:f>
        <x:v>0.1679233393450816</x:v>
      </x:c>
      <x:c r="E178" s="12" t="n">
        <x:f>Nguon!G179/Nguon!E179</x:f>
        <x:v>0.16674410886159974</x:v>
      </x:c>
      <x:c r="F178" s="13" t="n">
        <x:f>(E178-D178)*100</x:f>
        <x:v>-0.1179230483481869</x:v>
      </x:c>
      <x:c r="G178" s="12" t="n">
        <x:f>Nguon!H179/Nguon!D179</x:f>
        <x:v>0.012472566871645554</x:v>
      </x:c>
      <x:c r="H178" s="12" t="n">
        <x:f>Nguon!I179/Nguon!E179</x:f>
        <x:v>0.013441752406239628</x:v>
      </x:c>
      <x:c r="I178" s="13" t="n">
        <x:f>(H178-G178)*100</x:f>
        <x:v>0.09691855345940747</x:v>
      </x:c>
      <x:c r="J178" s="11" t="n">
        <x:f>Nguon!G179-Nguon!I179</x:f>
        <x:v>13857</x:v>
      </x:c>
      <x:c r="K178" s="12" t="n">
        <x:f>Nguon!N179/Nguon!K179</x:f>
        <x:v>0.032541329892899935</x:v>
      </x:c>
      <x:c r="L178" s="12" t="n">
        <x:f>Nguon!O179/Nguon!K179</x:f>
        <x:v>0.008355719705985388</x:v>
      </x:c>
      <x:c r="M178" s="2"/>
      <x:c r="N178" s="2"/>
      <x:c r="O178" s="2"/>
      <x:c r="P178" s="2"/>
      <x:c r="Q178" s="2"/>
      <x:c r="R178" s="2"/>
      <x:c r="S178" s="2"/>
      <x:c r="T178" s="2"/>
      <x:c r="U178" s="2"/>
    </x:row>
    <x:row r="179" ht="26" customHeight="1">
      <x:c r="A179" s="2" t="str">
        <x:v>E08000025</x:v>
      </x:c>
      <x:c r="B179" s="2" t="str">
        <x:v>Trung học</x:v>
      </x:c>
      <x:c r="C179" s="2" t="str">
        <x:v>Birmingham</x:v>
      </x:c>
      <x:c r="D179" s="12" t="n">
        <x:f>Nguon!F180/Nguon!D180</x:f>
        <x:v>0.21167773650043153</x:v>
      </x:c>
      <x:c r="E179" s="12" t="n">
        <x:f>Nguon!G180/Nguon!E180</x:f>
        <x:v>0.21141975308641975</x:v>
      </x:c>
      <x:c r="F179" s="13" t="n">
        <x:f>(E179-D179)*100</x:f>
        <x:v>-0.02579834140117865</x:v>
      </x:c>
      <x:c r="G179" s="12" t="n">
        <x:f>Nguon!H180/Nguon!D180</x:f>
        <x:v>0.02856892691408058</x:v>
      </x:c>
      <x:c r="H179" s="12" t="n">
        <x:f>Nguon!I180/Nguon!E180</x:f>
        <x:v>0.02762722071665161</x:v>
      </x:c>
      <x:c r="I179" s="13" t="n">
        <x:f>(H179-G179)*100</x:f>
        <x:v>-0.09417061974289695</x:v>
      </x:c>
      <x:c r="J179" s="11" t="n">
        <x:f>Nguon!G180-Nguon!I180</x:f>
        <x:v>14649</x:v>
      </x:c>
      <x:c r="K179" s="12" t="n">
        <x:f>Nguon!N180/Nguon!K180</x:f>
        <x:v>0.03384241215955844</x:v>
      </x:c>
      <x:c r="L179" s="12" t="n">
        <x:f>Nguon!O180/Nguon!K180</x:f>
        <x:v>0.019351087174730195</x:v>
      </x:c>
      <x:c r="M179" s="2"/>
      <x:c r="N179" s="2"/>
      <x:c r="O179" s="2"/>
      <x:c r="P179" s="2"/>
      <x:c r="Q179" s="2"/>
      <x:c r="R179" s="2"/>
      <x:c r="S179" s="2"/>
      <x:c r="T179" s="2"/>
      <x:c r="U179" s="2"/>
    </x:row>
    <x:row r="180" ht="26" customHeight="1">
      <x:c r="A180" s="2" t="str">
        <x:v>E08000026</x:v>
      </x:c>
      <x:c r="B180" s="2" t="str">
        <x:v>Tiểu học</x:v>
      </x:c>
      <x:c r="C180" s="2" t="str">
        <x:v>Coventry</x:v>
      </x:c>
      <x:c r="D180" s="12" t="n">
        <x:f>Nguon!F181/Nguon!D181</x:f>
        <x:v>0.1681947405828003</x:v>
      </x:c>
      <x:c r="E180" s="12" t="n">
        <x:f>Nguon!G181/Nguon!E181</x:f>
        <x:v>0.16388286334056398</x:v>
      </x:c>
      <x:c r="F180" s="13" t="n">
        <x:f>(E180-D180)*100</x:f>
        <x:v>-0.4311877242236306</x:v>
      </x:c>
      <x:c r="G180" s="12" t="n">
        <x:f>Nguon!H181/Nguon!D181</x:f>
        <x:v>0.014250177683013504</x:v>
      </x:c>
      <x:c r="H180" s="12" t="n">
        <x:f>Nguon!I181/Nguon!E181</x:f>
        <x:v>0.014389009399855386</x:v>
      </x:c>
      <x:c r="I180" s="13" t="n">
        <x:f>(H180-G180)*100</x:f>
        <x:v>0.013883171684188171</x:v>
      </x:c>
      <x:c r="J180" s="11" t="n">
        <x:f>Nguon!G181-Nguon!I181</x:f>
        <x:v>4135</x:v>
      </x:c>
      <x:c r="K180" s="12" t="n">
        <x:f>Nguon!N181/Nguon!K181</x:f>
        <x:v>0.03140977809055804</x:v>
      </x:c>
      <x:c r="L180" s="12" t="n">
        <x:f>Nguon!O181/Nguon!K181</x:f>
        <x:v>0.008321181143410242</x:v>
      </x:c>
      <x:c r="M180" s="2"/>
      <x:c r="N180" s="2"/>
      <x:c r="O180" s="2"/>
      <x:c r="P180" s="2"/>
      <x:c r="Q180" s="2"/>
      <x:c r="R180" s="2"/>
      <x:c r="S180" s="2"/>
      <x:c r="T180" s="2"/>
      <x:c r="U180" s="2"/>
    </x:row>
    <x:row r="181" ht="26" customHeight="1">
      <x:c r="A181" s="2" t="str">
        <x:v>E08000026</x:v>
      </x:c>
      <x:c r="B181" s="2" t="str">
        <x:v>Trung học</x:v>
      </x:c>
      <x:c r="C181" s="2" t="str">
        <x:v>Coventry</x:v>
      </x:c>
      <x:c r="D181" s="12" t="n">
        <x:f>Nguon!F182/Nguon!D182</x:f>
        <x:v>0.2264315262355759</x:v>
      </x:c>
      <x:c r="E181" s="12" t="n">
        <x:f>Nguon!G182/Nguon!E182</x:f>
        <x:v>0.2222801302931596</x:v>
      </x:c>
      <x:c r="F181" s="13" t="n">
        <x:f>(E181-D181)*100</x:f>
        <x:v>-0.4151395942416286</x:v>
      </x:c>
      <x:c r="G181" s="12" t="n">
        <x:f>Nguon!H182/Nguon!D182</x:f>
        <x:v>0.04010450685826257</x:v>
      </x:c>
      <x:c r="H181" s="12" t="n">
        <x:f>Nguon!I182/Nguon!E182</x:f>
        <x:v>0.039131378935939196</x:v>
      </x:c>
      <x:c r="I181" s="13" t="n">
        <x:f>(H181-G181)*100</x:f>
        <x:v>-0.09731279223233746</x:v>
      </x:c>
      <x:c r="J181" s="11" t="n">
        <x:f>Nguon!G182-Nguon!I182</x:f>
        <x:v>4217</x:v>
      </x:c>
      <x:c r="K181" s="12" t="n">
        <x:f>Nguon!N182/Nguon!K182</x:f>
        <x:v>0.03555751453637566</x:v>
      </x:c>
      <x:c r="L181" s="12" t="n">
        <x:f>Nguon!O182/Nguon!K182</x:f>
        <x:v>0.025571055443994635</x:v>
      </x:c>
      <x:c r="M181" s="2"/>
      <x:c r="N181" s="2"/>
      <x:c r="O181" s="2"/>
      <x:c r="P181" s="2"/>
      <x:c r="Q181" s="2"/>
      <x:c r="R181" s="2"/>
      <x:c r="S181" s="2"/>
      <x:c r="T181" s="2"/>
      <x:c r="U181" s="2"/>
    </x:row>
    <x:row r="182" ht="26" customHeight="1">
      <x:c r="A182" s="2" t="str">
        <x:v>E08000027</x:v>
      </x:c>
      <x:c r="B182" s="2" t="str">
        <x:v>Tiểu học</x:v>
      </x:c>
      <x:c r="C182" s="2" t="str">
        <x:v>Dudley</x:v>
      </x:c>
      <x:c r="D182" s="12" t="n">
        <x:f>Nguon!F183/Nguon!D183</x:f>
        <x:v>0.1712222126113658</x:v>
      </x:c>
      <x:c r="E182" s="12" t="n">
        <x:f>Nguon!G183/Nguon!E183</x:f>
        <x:v>0.15286091549295774</x:v>
      </x:c>
      <x:c r="F182" s="13" t="n">
        <x:f>(E182-D182)*100</x:f>
        <x:v>-1.836129711840806</x:v>
      </x:c>
      <x:c r="G182" s="12" t="n">
        <x:f>Nguon!H183/Nguon!D183</x:f>
        <x:v>0.012455669924746995</x:v>
      </x:c>
      <x:c r="H182" s="12" t="n">
        <x:f>Nguon!I183/Nguon!E183</x:f>
        <x:v>0.012940140845070423</x:v>
      </x:c>
      <x:c r="I182" s="13" t="n">
        <x:f>(H182-G182)*100</x:f>
        <x:v>0.04844709203234276</x:v>
      </x:c>
      <x:c r="J182" s="11" t="n">
        <x:f>Nguon!G183-Nguon!I183</x:f>
        <x:v>3179</x:v>
      </x:c>
      <x:c r="K182" s="12" t="n">
        <x:f>Nguon!N183/Nguon!K183</x:f>
        <x:v>0.03001469770187345</x:v>
      </x:c>
      <x:c r="L182" s="12" t="n">
        <x:f>Nguon!O183/Nguon!K183</x:f>
        <x:v>0.008318506156905065</x:v>
      </x:c>
      <x:c r="M182" s="2"/>
      <x:c r="N182" s="2"/>
      <x:c r="O182" s="2"/>
      <x:c r="P182" s="2"/>
      <x:c r="Q182" s="2"/>
      <x:c r="R182" s="2"/>
      <x:c r="S182" s="2"/>
      <x:c r="T182" s="2"/>
      <x:c r="U182" s="2"/>
    </x:row>
    <x:row r="183" ht="26" customHeight="1">
      <x:c r="A183" s="2" t="str">
        <x:v>E08000027</x:v>
      </x:c>
      <x:c r="B183" s="2" t="str">
        <x:v>Trung học</x:v>
      </x:c>
      <x:c r="C183" s="2" t="str">
        <x:v>Dudley</x:v>
      </x:c>
      <x:c r="D183" s="12" t="n">
        <x:f>Nguon!F184/Nguon!D184</x:f>
        <x:v>0.24952308279282717</x:v>
      </x:c>
      <x:c r="E183" s="12" t="n">
        <x:f>Nguon!G184/Nguon!E184</x:f>
        <x:v>0.2361299419708227</x:v>
      </x:c>
      <x:c r="F183" s="13" t="n">
        <x:f>(E183-D183)*100</x:f>
        <x:v>-1.3393140822004463</x:v>
      </x:c>
      <x:c r="G183" s="12" t="n">
        <x:f>Nguon!H184/Nguon!D184</x:f>
        <x:v>0.035864173979397174</x:v>
      </x:c>
      <x:c r="H183" s="12" t="n">
        <x:f>Nguon!I184/Nguon!E184</x:f>
        <x:v>0.03405824610879115</x:v>
      </x:c>
      <x:c r="I183" s="13" t="n">
        <x:f>(H183-G183)*100</x:f>
        <x:v>-0.18059278706060236</x:v>
      </x:c>
      <x:c r="J183" s="11" t="n">
        <x:f>Nguon!G184-Nguon!I184</x:f>
        <x:v>3726</x:v>
      </x:c>
      <x:c r="K183" s="12" t="n">
        <x:f>Nguon!N184/Nguon!K184</x:f>
        <x:v>0.03604805253534142</x:v>
      </x:c>
      <x:c r="L183" s="12" t="n">
        <x:f>Nguon!O184/Nguon!K184</x:f>
        <x:v>0.02336131810227876</x:v>
      </x:c>
      <x:c r="M183" s="2"/>
      <x:c r="N183" s="2"/>
      <x:c r="O183" s="2"/>
      <x:c r="P183" s="2"/>
      <x:c r="Q183" s="2"/>
      <x:c r="R183" s="2"/>
      <x:c r="S183" s="2"/>
      <x:c r="T183" s="2"/>
      <x:c r="U183" s="2"/>
    </x:row>
    <x:row r="184" ht="26" customHeight="1">
      <x:c r="A184" s="2" t="str">
        <x:v>E08000028</x:v>
      </x:c>
      <x:c r="B184" s="2" t="str">
        <x:v>Tiểu học</x:v>
      </x:c>
      <x:c r="C184" s="2" t="str">
        <x:v>Sandwell</x:v>
      </x:c>
      <x:c r="D184" s="12" t="n">
        <x:f>Nguon!F185/Nguon!D185</x:f>
        <x:v>0.16876548657547266</x:v>
      </x:c>
      <x:c r="E184" s="12" t="n">
        <x:f>Nguon!G185/Nguon!E185</x:f>
        <x:v>0.15458074267459035</x:v>
      </x:c>
      <x:c r="F184" s="13" t="n">
        <x:f>(E184-D184)*100</x:f>
        <x:v>-1.4184743900882313</x:v>
      </x:c>
      <x:c r="G184" s="12" t="n">
        <x:f>Nguon!H185/Nguon!D185</x:f>
        <x:v>0.009775635586028987</x:v>
      </x:c>
      <x:c r="H184" s="12" t="n">
        <x:f>Nguon!I185/Nguon!E185</x:f>
        <x:v>0.011232867301020234</x:v>
      </x:c>
      <x:c r="I184" s="13" t="n">
        <x:f>(H184-G184)*100</x:f>
        <x:v>0.14572317149912467</x:v>
      </x:c>
      <x:c r="J184" s="11" t="n">
        <x:f>Nguon!G185-Nguon!I185</x:f>
        <x:v>4173</x:v>
      </x:c>
      <x:c r="K184" s="12" t="n">
        <x:f>Nguon!N185/Nguon!K185</x:f>
        <x:v>0.029607425637081016</x:v>
      </x:c>
      <x:c r="L184" s="12" t="n">
        <x:f>Nguon!O185/Nguon!K185</x:f>
        <x:v>0.011145354952214795</x:v>
      </x:c>
      <x:c r="M184" s="2"/>
      <x:c r="N184" s="2"/>
      <x:c r="O184" s="2"/>
      <x:c r="P184" s="2"/>
      <x:c r="Q184" s="2"/>
      <x:c r="R184" s="2"/>
      <x:c r="S184" s="2"/>
      <x:c r="T184" s="2"/>
      <x:c r="U184" s="2"/>
    </x:row>
    <x:row r="185" ht="26" customHeight="1">
      <x:c r="A185" s="2" t="str">
        <x:v>E08000028</x:v>
      </x:c>
      <x:c r="B185" s="2" t="str">
        <x:v>Trung học</x:v>
      </x:c>
      <x:c r="C185" s="2" t="str">
        <x:v>Sandwell</x:v>
      </x:c>
      <x:c r="D185" s="12" t="n">
        <x:f>Nguon!F186/Nguon!D186</x:f>
        <x:v>0.23022145385691942</x:v>
      </x:c>
      <x:c r="E185" s="12" t="n">
        <x:f>Nguon!G186/Nguon!E186</x:f>
        <x:v>0.2170278251466123</x:v>
      </x:c>
      <x:c r="F185" s="13" t="n">
        <x:f>(E185-D185)*100</x:f>
        <x:v>-1.3193628710307104</x:v>
      </x:c>
      <x:c r="G185" s="12" t="n">
        <x:f>Nguon!H186/Nguon!D186</x:f>
        <x:v>0.030460195933152218</x:v>
      </x:c>
      <x:c r="H185" s="12" t="n">
        <x:f>Nguon!I186/Nguon!E186</x:f>
        <x:v>0.02607827642141164</x:v>
      </x:c>
      <x:c r="I185" s="13" t="n">
        <x:f>(H185-G185)*100</x:f>
        <x:v>-0.43819195117405785</x:v>
      </x:c>
      <x:c r="J185" s="11" t="n">
        <x:f>Nguon!G186-Nguon!I186</x:f>
        <x:v>4591</x:v>
      </x:c>
      <x:c r="K185" s="12" t="n">
        <x:f>Nguon!N186/Nguon!K186</x:f>
        <x:v>0.031738118925396665</x:v>
      </x:c>
      <x:c r="L185" s="12" t="n">
        <x:f>Nguon!O186/Nguon!K186</x:f>
        <x:v>0.025150695746691785</x:v>
      </x:c>
      <x:c r="M185" s="2"/>
      <x:c r="N185" s="2"/>
      <x:c r="O185" s="2"/>
      <x:c r="P185" s="2"/>
      <x:c r="Q185" s="2"/>
      <x:c r="R185" s="2"/>
      <x:c r="S185" s="2"/>
      <x:c r="T185" s="2"/>
      <x:c r="U185" s="2"/>
    </x:row>
    <x:row r="186" ht="26" customHeight="1">
      <x:c r="A186" s="2" t="str">
        <x:v>E08000029</x:v>
      </x:c>
      <x:c r="B186" s="2" t="str">
        <x:v>Tiểu học</x:v>
      </x:c>
      <x:c r="C186" s="2" t="str">
        <x:v>Solihull</x:v>
      </x:c>
      <x:c r="D186" s="12" t="n">
        <x:f>Nguon!F187/Nguon!D187</x:f>
        <x:v>0.13899448191293684</x:v>
      </x:c>
      <x:c r="E186" s="12" t="n">
        <x:f>Nguon!G187/Nguon!E187</x:f>
        <x:v>0.13713584789941735</x:v>
      </x:c>
      <x:c r="F186" s="13" t="n">
        <x:f>(E186-D186)*100</x:f>
        <x:v>-0.1858634013519489</x:v>
      </x:c>
      <x:c r="G186" s="12" t="n">
        <x:f>Nguon!H187/Nguon!D187</x:f>
        <x:v>0.009687308399754752</x:v>
      </x:c>
      <x:c r="H186" s="12" t="n">
        <x:f>Nguon!I187/Nguon!E187</x:f>
        <x:v>0.00926096289481754</x:v>
      </x:c>
      <x:c r="I186" s="13" t="n">
        <x:f>(H186-G186)*100</x:f>
        <x:v>-0.04263455049372117</x:v>
      </x:c>
      <x:c r="J186" s="11" t="n">
        <x:f>Nguon!G187-Nguon!I187</x:f>
        <x:v>2085</x:v>
      </x:c>
      <x:c r="K186" s="12" t="n">
        <x:f>Nguon!N187/Nguon!K187</x:f>
        <x:v>0.030890826217391417</x:v>
      </x:c>
      <x:c r="L186" s="12" t="n">
        <x:f>Nguon!O187/Nguon!K187</x:f>
        <x:v>0.005856840805538096</x:v>
      </x:c>
      <x:c r="M186" s="2"/>
      <x:c r="N186" s="2"/>
      <x:c r="O186" s="2"/>
      <x:c r="P186" s="2"/>
      <x:c r="Q186" s="2"/>
      <x:c r="R186" s="2"/>
      <x:c r="S186" s="2"/>
      <x:c r="T186" s="2"/>
      <x:c r="U186" s="2"/>
    </x:row>
    <x:row r="187" ht="26" customHeight="1">
      <x:c r="A187" s="2" t="str">
        <x:v>E08000029</x:v>
      </x:c>
      <x:c r="B187" s="2" t="str">
        <x:v>Trung học</x:v>
      </x:c>
      <x:c r="C187" s="2" t="str">
        <x:v>Solihull</x:v>
      </x:c>
      <x:c r="D187" s="12" t="n">
        <x:f>Nguon!F188/Nguon!D188</x:f>
        <x:v>0.21466065583894275</x:v>
      </x:c>
      <x:c r="E187" s="12" t="n">
        <x:f>Nguon!G188/Nguon!E188</x:f>
        <x:v>0.21903812609020684</x:v>
      </x:c>
      <x:c r="F187" s="13" t="n">
        <x:f>(E187-D187)*100</x:f>
        <x:v>0.43774702512640873</x:v>
      </x:c>
      <x:c r="G187" s="12" t="n">
        <x:f>Nguon!H188/Nguon!D188</x:f>
        <x:v>0.029642438090532946</x:v>
      </x:c>
      <x:c r="H187" s="12" t="n">
        <x:f>Nguon!I188/Nguon!E188</x:f>
        <x:v>0.032020931971093944</x:v>
      </x:c>
      <x:c r="I187" s="13" t="n">
        <x:f>(H187-G187)*100</x:f>
        <x:v>0.2378493880560998</x:v>
      </x:c>
      <x:c r="J187" s="11" t="n">
        <x:f>Nguon!G188-Nguon!I188</x:f>
        <x:v>3002</x:v>
      </x:c>
      <x:c r="K187" s="12" t="n">
        <x:f>Nguon!N188/Nguon!K188</x:f>
        <x:v>0.04191926821233636</x:v>
      </x:c>
      <x:c r="L187" s="12" t="n">
        <x:f>Nguon!O188/Nguon!K188</x:f>
        <x:v>0.02060746311304598</x:v>
      </x:c>
      <x:c r="M187" s="2"/>
      <x:c r="N187" s="2"/>
      <x:c r="O187" s="2"/>
      <x:c r="P187" s="2"/>
      <x:c r="Q187" s="2"/>
      <x:c r="R187" s="2"/>
      <x:c r="S187" s="2"/>
      <x:c r="T187" s="2"/>
      <x:c r="U187" s="2"/>
    </x:row>
    <x:row r="188" ht="26" customHeight="1">
      <x:c r="A188" s="2" t="str">
        <x:v>E08000030</x:v>
      </x:c>
      <x:c r="B188" s="2" t="str">
        <x:v>Tiểu học</x:v>
      </x:c>
      <x:c r="C188" s="2" t="str">
        <x:v>Walsall</x:v>
      </x:c>
      <x:c r="D188" s="12" t="n">
        <x:f>Nguon!F189/Nguon!D189</x:f>
        <x:v>0.17546630244568698</x:v>
      </x:c>
      <x:c r="E188" s="12" t="n">
        <x:f>Nguon!G189/Nguon!E189</x:f>
        <x:v>0.15803637310647164</x:v>
      </x:c>
      <x:c r="F188" s="13" t="n">
        <x:f>(E188-D188)*100</x:f>
        <x:v>-1.7429929339215333</x:v>
      </x:c>
      <x:c r="G188" s="12" t="n">
        <x:f>Nguon!H189/Nguon!D189</x:f>
        <x:v>0.01186563660420846</x:v>
      </x:c>
      <x:c r="H188" s="12" t="n">
        <x:f>Nguon!I189/Nguon!E189</x:f>
        <x:v>0.011458830678414862</x:v>
      </x:c>
      <x:c r="I188" s="13" t="n">
        <x:f>(H188-G188)*100</x:f>
        <x:v>-0.04068059257935977</x:v>
      </x:c>
      <x:c r="J188" s="11" t="n">
        <x:f>Nguon!G189-Nguon!I189</x:f>
        <x:v>3377</x:v>
      </x:c>
      <x:c r="K188" s="12" t="n">
        <x:f>Nguon!N189/Nguon!K189</x:f>
        <x:v>0.026899962122287024</x:v>
      </x:c>
      <x:c r="L188" s="12" t="n">
        <x:f>Nguon!O189/Nguon!K189</x:f>
        <x:v>0.012452760816431279</x:v>
      </x:c>
      <x:c r="M188" s="2"/>
      <x:c r="N188" s="2"/>
      <x:c r="O188" s="2"/>
      <x:c r="P188" s="2"/>
      <x:c r="Q188" s="2"/>
      <x:c r="R188" s="2"/>
      <x:c r="S188" s="2"/>
      <x:c r="T188" s="2"/>
      <x:c r="U188" s="2"/>
    </x:row>
    <x:row r="189" ht="26" customHeight="1">
      <x:c r="A189" s="2" t="str">
        <x:v>E08000030</x:v>
      </x:c>
      <x:c r="B189" s="2" t="str">
        <x:v>Trung học</x:v>
      </x:c>
      <x:c r="C189" s="2" t="str">
        <x:v>Walsall</x:v>
      </x:c>
      <x:c r="D189" s="12" t="n">
        <x:f>Nguon!F190/Nguon!D190</x:f>
        <x:v>0.24424603174603174</x:v>
      </x:c>
      <x:c r="E189" s="12" t="n">
        <x:f>Nguon!G190/Nguon!E190</x:f>
        <x:v>0.240799055304074</x:v>
      </x:c>
      <x:c r="F189" s="13" t="n">
        <x:f>(E189-D189)*100</x:f>
        <x:v>-0.34469764419577387</x:v>
      </x:c>
      <x:c r="G189" s="12" t="n">
        <x:f>Nguon!H190/Nguon!D190</x:f>
        <x:v>0.03467261904761905</x:v>
      </x:c>
      <x:c r="H189" s="12" t="n">
        <x:f>Nguon!I190/Nguon!E190</x:f>
        <x:v>0.03793544577839008</x:v>
      </x:c>
      <x:c r="I189" s="13" t="n">
        <x:f>(H189-G189)*100</x:f>
        <x:v>0.326282673077103</x:v>
      </x:c>
      <x:c r="J189" s="11" t="n">
        <x:f>Nguon!G190-Nguon!I190</x:f>
        <x:v>4123</x:v>
      </x:c>
      <x:c r="K189" s="12" t="n">
        <x:f>Nguon!N190/Nguon!K190</x:f>
        <x:v>0.03098677433380059</x:v>
      </x:c>
      <x:c r="L189" s="12" t="n">
        <x:f>Nguon!O190/Nguon!K190</x:f>
        <x:v>0.033654999720368534</x:v>
      </x:c>
      <x:c r="M189" s="2"/>
      <x:c r="N189" s="2"/>
      <x:c r="O189" s="2"/>
      <x:c r="P189" s="2"/>
      <x:c r="Q189" s="2"/>
      <x:c r="R189" s="2"/>
      <x:c r="S189" s="2"/>
      <x:c r="T189" s="2"/>
      <x:c r="U189" s="2"/>
    </x:row>
    <x:row r="190" ht="26" customHeight="1">
      <x:c r="A190" s="2" t="str">
        <x:v>E08000031</x:v>
      </x:c>
      <x:c r="B190" s="2" t="str">
        <x:v>Tiểu học</x:v>
      </x:c>
      <x:c r="C190" s="2" t="str">
        <x:v>Wolverhampton</x:v>
      </x:c>
      <x:c r="D190" s="12" t="n">
        <x:f>Nguon!F191/Nguon!D191</x:f>
        <x:v>0.15917654627332048</x:v>
      </x:c>
      <x:c r="E190" s="12" t="n">
        <x:f>Nguon!G191/Nguon!E191</x:f>
        <x:v>0.15835818114051434</x:v>
      </x:c>
      <x:c r="F190" s="13" t="n">
        <x:f>(E190-D190)*100</x:f>
        <x:v>-0.08183651328061425</x:v>
      </x:c>
      <x:c r="G190" s="12" t="n">
        <x:f>Nguon!H191/Nguon!D191</x:f>
        <x:v>0.008730815182428086</x:v>
      </x:c>
      <x:c r="H190" s="12" t="n">
        <x:f>Nguon!I191/Nguon!E191</x:f>
        <x:v>0.011693999254565785</x:v>
      </x:c>
      <x:c r="I190" s="13" t="n">
        <x:f>(H190-G190)*100</x:f>
        <x:v>0.2963184072137699</x:v>
      </x:c>
      <x:c r="J190" s="11" t="n">
        <x:f>Nguon!G191-Nguon!I191</x:f>
        <x:v>3148</x:v>
      </x:c>
      <x:c r="K190" s="12" t="n">
        <x:f>Nguon!N191/Nguon!K191</x:f>
        <x:v>0.028211877228392655</x:v>
      </x:c>
      <x:c r="L190" s="12" t="n">
        <x:f>Nguon!O191/Nguon!K191</x:f>
        <x:v>0.01094131183424001</x:v>
      </x:c>
      <x:c r="M190" s="2"/>
      <x:c r="N190" s="2"/>
      <x:c r="O190" s="2"/>
      <x:c r="P190" s="2"/>
      <x:c r="Q190" s="2"/>
      <x:c r="R190" s="2"/>
      <x:c r="S190" s="2"/>
      <x:c r="T190" s="2"/>
      <x:c r="U190" s="2"/>
    </x:row>
    <x:row r="191" ht="26" customHeight="1">
      <x:c r="A191" s="2" t="str">
        <x:v>E08000031</x:v>
      </x:c>
      <x:c r="B191" s="2" t="str">
        <x:v>Trung học</x:v>
      </x:c>
      <x:c r="C191" s="2" t="str">
        <x:v>Wolverhampton</x:v>
      </x:c>
      <x:c r="D191" s="12" t="n">
        <x:f>Nguon!F192/Nguon!D192</x:f>
        <x:v>0.2056756189676878</x:v>
      </x:c>
      <x:c r="E191" s="12" t="n">
        <x:f>Nguon!G192/Nguon!E192</x:f>
        <x:v>0.2035531154503548</x:v>
      </x:c>
      <x:c r="F191" s="13" t="n">
        <x:f>(E191-D191)*100</x:f>
        <x:v>-0.21225035173330076</x:v>
      </x:c>
      <x:c r="G191" s="12" t="n">
        <x:f>Nguon!H192/Nguon!D192</x:f>
        <x:v>0.022817876626101553</x:v>
      </x:c>
      <x:c r="H191" s="12" t="n">
        <x:f>Nguon!I192/Nguon!E192</x:f>
        <x:v>0.02491324390117574</x:v>
      </x:c>
      <x:c r="I191" s="13" t="n">
        <x:f>(H191-G191)*100</x:f>
        <x:v>0.20953672750741864</x:v>
      </x:c>
      <x:c r="J191" s="11" t="n">
        <x:f>Nguon!G192-Nguon!I192</x:f>
        <x:v>3449</x:v>
      </x:c>
      <x:c r="K191" s="12" t="n">
        <x:f>Nguon!N192/Nguon!K192</x:f>
        <x:v>0.027123310937459358</x:v>
      </x:c>
      <x:c r="L191" s="12" t="n">
        <x:f>Nguon!O192/Nguon!K192</x:f>
        <x:v>0.02633759370079704</x:v>
      </x:c>
      <x:c r="M191" s="2"/>
      <x:c r="N191" s="2"/>
      <x:c r="O191" s="2"/>
      <x:c r="P191" s="2"/>
      <x:c r="Q191" s="2"/>
      <x:c r="R191" s="2"/>
      <x:c r="S191" s="2"/>
      <x:c r="T191" s="2"/>
      <x:c r="U191" s="2"/>
    </x:row>
    <x:row r="192" ht="26" customHeight="1">
      <x:c r="A192" s="2" t="str">
        <x:v>E08000032</x:v>
      </x:c>
      <x:c r="B192" s="2" t="str">
        <x:v>Tiểu học</x:v>
      </x:c>
      <x:c r="C192" s="2" t="str">
        <x:v>Bradford</x:v>
      </x:c>
      <x:c r="D192" s="12" t="n">
        <x:f>Nguon!F193/Nguon!D193</x:f>
        <x:v>0.15790054273485415</x:v>
      </x:c>
      <x:c r="E192" s="12" t="n">
        <x:f>Nguon!G193/Nguon!E193</x:f>
        <x:v>0.18160495513959102</x:v>
      </x:c>
      <x:c r="F192" s="13" t="n">
        <x:f>(E192-D192)*100</x:f>
        <x:v>2.3704412404736863</x:v>
      </x:c>
      <x:c r="G192" s="12" t="n">
        <x:f>Nguon!H193/Nguon!D193</x:f>
        <x:v>0.01028107487975996</x:v>
      </x:c>
      <x:c r="H192" s="12" t="n">
        <x:f>Nguon!I193/Nguon!E193</x:f>
        <x:v>0.011499749510406705</x:v>
      </x:c>
      <x:c r="I192" s="13" t="n">
        <x:f>(H192-G192)*100</x:f>
        <x:v>0.12186746306467444</x:v>
      </x:c>
      <x:c r="J192" s="11" t="n">
        <x:f>Nguon!G193-Nguon!I193</x:f>
        <x:v>7470</x:v>
      </x:c>
      <x:c r="K192" s="12" t="n">
        <x:f>Nguon!N193/Nguon!K193</x:f>
        <x:v>0.03236723917705035</x:v>
      </x:c>
      <x:c r="L192" s="12" t="n">
        <x:f>Nguon!O193/Nguon!K193</x:f>
        <x:v>0.008943591964202434</x:v>
      </x:c>
      <x:c r="M192" s="2"/>
      <x:c r="N192" s="2"/>
      <x:c r="O192" s="2"/>
      <x:c r="P192" s="2"/>
      <x:c r="Q192" s="2"/>
      <x:c r="R192" s="2"/>
      <x:c r="S192" s="2"/>
      <x:c r="T192" s="2"/>
      <x:c r="U192" s="2"/>
    </x:row>
    <x:row r="193" ht="26" customHeight="1">
      <x:c r="A193" s="2" t="str">
        <x:v>E08000032</x:v>
      </x:c>
      <x:c r="B193" s="2" t="str">
        <x:v>Trung học</x:v>
      </x:c>
      <x:c r="C193" s="2" t="str">
        <x:v>Bradford</x:v>
      </x:c>
      <x:c r="D193" s="12" t="n">
        <x:f>Nguon!F194/Nguon!D194</x:f>
        <x:v>0.26253577864942224</x:v>
      </x:c>
      <x:c r="E193" s="12" t="n">
        <x:f>Nguon!G194/Nguon!E194</x:f>
        <x:v>0.27839055041665545</x:v>
      </x:c>
      <x:c r="F193" s="13" t="n">
        <x:f>(E193-D193)*100</x:f>
        <x:v>1.5854771767233211</x:v>
      </x:c>
      <x:c r="G193" s="12" t="n">
        <x:f>Nguon!H194/Nguon!D194</x:f>
        <x:v>0.049056503763383864</x:v>
      </x:c>
      <x:c r="H193" s="12" t="n">
        <x:f>Nguon!I194/Nguon!E194</x:f>
        <x:v>0.049324451875623634</x:v>
      </x:c>
      <x:c r="I193" s="13" t="n">
        <x:f>(H193-G193)*100</x:f>
        <x:v>0.026794811223977005</x:v>
      </x:c>
      <x:c r="J193" s="11" t="n">
        <x:f>Nguon!G194-Nguon!I194</x:f>
        <x:v>8494</x:v>
      </x:c>
      <x:c r="K193" s="12" t="n">
        <x:f>Nguon!N194/Nguon!K194</x:f>
        <x:v>0.03567922291592754</x:v>
      </x:c>
      <x:c r="L193" s="12" t="n">
        <x:f>Nguon!O194/Nguon!K194</x:f>
        <x:v>0.037143224150024585</x:v>
      </x:c>
      <x:c r="M193" s="2"/>
      <x:c r="N193" s="2"/>
      <x:c r="O193" s="2"/>
      <x:c r="P193" s="2"/>
      <x:c r="Q193" s="2"/>
      <x:c r="R193" s="2"/>
      <x:c r="S193" s="2"/>
      <x:c r="T193" s="2"/>
      <x:c r="U193" s="2"/>
    </x:row>
    <x:row r="194" ht="26" customHeight="1">
      <x:c r="A194" s="2" t="str">
        <x:v>E08000033</x:v>
      </x:c>
      <x:c r="B194" s="2" t="str">
        <x:v>Tiểu học</x:v>
      </x:c>
      <x:c r="C194" s="2" t="str">
        <x:v>Calderdale</x:v>
      </x:c>
      <x:c r="D194" s="12" t="n">
        <x:f>Nguon!F195/Nguon!D195</x:f>
        <x:v>0.13611859838274934</x:v>
      </x:c>
      <x:c r="E194" s="12" t="n">
        <x:f>Nguon!G195/Nguon!E195</x:f>
        <x:v>0.14389039571597467</x:v>
      </x:c>
      <x:c r="F194" s="13" t="n">
        <x:f>(E194-D194)*100</x:f>
        <x:v>0.7771797333225333</x:v>
      </x:c>
      <x:c r="G194" s="12" t="n">
        <x:f>Nguon!H195/Nguon!D195</x:f>
        <x:v>0.004919137466307278</x:v>
      </x:c>
      <x:c r="H194" s="12" t="n">
        <x:f>Nguon!I195/Nguon!E195</x:f>
        <x:v>0.0063286737603449475</x:v>
      </x:c>
      <x:c r="I194" s="13" t="n">
        <x:f>(H194-G194)*100</x:f>
        <x:v>0.14095362940376696</x:v>
      </x:c>
      <x:c r="J194" s="11" t="n">
        <x:f>Nguon!G195-Nguon!I195</x:f>
        <x:v>1978</x:v>
      </x:c>
      <x:c r="K194" s="12" t="n">
        <x:f>Nguon!N195/Nguon!K195</x:f>
        <x:v>0.032085093697387615</x:v>
      </x:c>
      <x:c r="L194" s="12" t="n">
        <x:f>Nguon!O195/Nguon!K195</x:f>
        <x:v>0.0042165657079045946</x:v>
      </x:c>
      <x:c r="M194" s="2"/>
      <x:c r="N194" s="2"/>
      <x:c r="O194" s="2"/>
      <x:c r="P194" s="2"/>
      <x:c r="Q194" s="2"/>
      <x:c r="R194" s="2"/>
      <x:c r="S194" s="2"/>
      <x:c r="T194" s="2"/>
      <x:c r="U194" s="2"/>
    </x:row>
    <x:row r="195" ht="26" customHeight="1">
      <x:c r="A195" s="2" t="str">
        <x:v>E08000033</x:v>
      </x:c>
      <x:c r="B195" s="2" t="str">
        <x:v>Trung học</x:v>
      </x:c>
      <x:c r="C195" s="2" t="str">
        <x:v>Calderdale</x:v>
      </x:c>
      <x:c r="D195" s="12" t="n">
        <x:f>Nguon!F196/Nguon!D196</x:f>
        <x:v>0.19964160084953872</x:v>
      </x:c>
      <x:c r="E195" s="12" t="n">
        <x:f>Nguon!G196/Nguon!E196</x:f>
        <x:v>0.20427885897094109</x:v>
      </x:c>
      <x:c r="F195" s="13" t="n">
        <x:f>(E195-D195)*100</x:f>
        <x:v>0.46372581214023656</x:v>
      </x:c>
      <x:c r="G195" s="12" t="n">
        <x:f>Nguon!H196/Nguon!D196</x:f>
        <x:v>0.025884383088869714</x:v>
      </x:c>
      <x:c r="H195" s="12" t="n">
        <x:f>Nguon!I196/Nguon!E196</x:f>
        <x:v>0.028125833111170354</x:v>
      </x:c>
      <x:c r="I195" s="13" t="n">
        <x:f>(H195-G195)*100</x:f>
        <x:v>0.22414500223006395</x:v>
      </x:c>
      <x:c r="J195" s="11" t="n">
        <x:f>Nguon!G196-Nguon!I196</x:f>
        <x:v>2643</x:v>
      </x:c>
      <x:c r="K195" s="12" t="n">
        <x:f>Nguon!N196/Nguon!K196</x:f>
        <x:v>0.03852389055465273</x:v>
      </x:c>
      <x:c r="L195" s="12" t="n">
        <x:f>Nguon!O196/Nguon!K196</x:f>
        <x:v>0.0186803322016828</x:v>
      </x:c>
      <x:c r="M195" s="2"/>
      <x:c r="N195" s="2"/>
      <x:c r="O195" s="2"/>
      <x:c r="P195" s="2"/>
      <x:c r="Q195" s="2"/>
      <x:c r="R195" s="2"/>
      <x:c r="S195" s="2"/>
      <x:c r="T195" s="2"/>
      <x:c r="U195" s="2"/>
    </x:row>
    <x:row r="196" ht="26" customHeight="1">
      <x:c r="A196" s="2" t="str">
        <x:v>E08000034</x:v>
      </x:c>
      <x:c r="B196" s="2" t="str">
        <x:v>Tiểu học</x:v>
      </x:c>
      <x:c r="C196" s="2" t="str">
        <x:v>Kirklees</x:v>
      </x:c>
      <x:c r="D196" s="12" t="n">
        <x:f>Nguon!F197/Nguon!D197</x:f>
        <x:v>0.137190719168191</x:v>
      </x:c>
      <x:c r="E196" s="12" t="n">
        <x:f>Nguon!G197/Nguon!E197</x:f>
        <x:v>0.1403635409147582</x:v>
      </x:c>
      <x:c r="F196" s="13" t="n">
        <x:f>(E196-D196)*100</x:f>
        <x:v>0.31728217465671893</x:v>
      </x:c>
      <x:c r="G196" s="12" t="n">
        <x:f>Nguon!H197/Nguon!D197</x:f>
        <x:v>0.008472128622316357</x:v>
      </x:c>
      <x:c r="H196" s="12" t="n">
        <x:f>Nguon!I197/Nguon!E197</x:f>
        <x:v>0.009613491698930375</x:v>
      </x:c>
      <x:c r="I196" s="13" t="n">
        <x:f>(H196-G196)*100</x:f>
        <x:v>0.11413630766140184</x:v>
      </x:c>
      <x:c r="J196" s="11" t="n">
        <x:f>Nguon!G197-Nguon!I197</x:f>
        <x:v>3985</x:v>
      </x:c>
      <x:c r="K196" s="12" t="n">
        <x:f>Nguon!N197/Nguon!K197</x:f>
        <x:v>0.030149428493315623</x:v>
      </x:c>
      <x:c r="L196" s="12" t="n">
        <x:f>Nguon!O197/Nguon!K197</x:f>
        <x:v>0.005607595787318691</x:v>
      </x:c>
      <x:c r="M196" s="2"/>
      <x:c r="N196" s="2"/>
      <x:c r="O196" s="2"/>
      <x:c r="P196" s="2"/>
      <x:c r="Q196" s="2"/>
      <x:c r="R196" s="2"/>
      <x:c r="S196" s="2"/>
      <x:c r="T196" s="2"/>
      <x:c r="U196" s="2"/>
    </x:row>
    <x:row r="197" ht="26" customHeight="1">
      <x:c r="A197" s="2" t="str">
        <x:v>E08000034</x:v>
      </x:c>
      <x:c r="B197" s="2" t="str">
        <x:v>Trung học</x:v>
      </x:c>
      <x:c r="C197" s="2" t="str">
        <x:v>Kirklees</x:v>
      </x:c>
      <x:c r="D197" s="12" t="n">
        <x:f>Nguon!F198/Nguon!D198</x:f>
        <x:v>0.18481141322104042</x:v>
      </x:c>
      <x:c r="E197" s="12" t="n">
        <x:f>Nguon!G198/Nguon!E198</x:f>
        <x:v>0.19065749011568311</x:v>
      </x:c>
      <x:c r="F197" s="13" t="n">
        <x:f>(E197-D197)*100</x:f>
        <x:v>0.5846076894642699</x:v>
      </x:c>
      <x:c r="G197" s="12" t="n">
        <x:f>Nguon!H198/Nguon!D198</x:f>
        <x:v>0.02889606853740879</x:v>
      </x:c>
      <x:c r="H197" s="12" t="n">
        <x:f>Nguon!I198/Nguon!E198</x:f>
        <x:v>0.028701127544296382</x:v>
      </x:c>
      <x:c r="I197" s="13" t="n">
        <x:f>(H197-G197)*100</x:f>
        <x:v>-0.019494099311240937</x:v>
      </x:c>
      <x:c r="J197" s="11" t="n">
        <x:f>Nguon!G198-Nguon!I198</x:f>
        <x:v>4424</x:v>
      </x:c>
      <x:c r="K197" s="12" t="n">
        <x:f>Nguon!N198/Nguon!K198</x:f>
        <x:v>0.03648967216379403</x:v>
      </x:c>
      <x:c r="L197" s="12" t="n">
        <x:f>Nguon!O198/Nguon!K198</x:f>
        <x:v>0.02031264499164327</x:v>
      </x:c>
      <x:c r="M197" s="2"/>
      <x:c r="N197" s="2"/>
      <x:c r="O197" s="2"/>
      <x:c r="P197" s="2"/>
      <x:c r="Q197" s="2"/>
      <x:c r="R197" s="2"/>
      <x:c r="S197" s="2"/>
      <x:c r="T197" s="2"/>
      <x:c r="U197" s="2"/>
    </x:row>
    <x:row r="198" ht="26" customHeight="1">
      <x:c r="A198" s="2" t="str">
        <x:v>E08000035</x:v>
      </x:c>
      <x:c r="B198" s="2" t="str">
        <x:v>Tiểu học</x:v>
      </x:c>
      <x:c r="C198" s="2" t="str">
        <x:v>Leeds</x:v>
      </x:c>
      <x:c r="D198" s="12" t="n">
        <x:f>Nguon!F199/Nguon!D199</x:f>
        <x:v>0.14813755509943133</x:v>
      </x:c>
      <x:c r="E198" s="12" t="n">
        <x:f>Nguon!G199/Nguon!E199</x:f>
        <x:v>0.1621593883101555</x:v>
      </x:c>
      <x:c r="F198" s="13" t="n">
        <x:f>(E198-D198)*100</x:f>
        <x:v>1.402183321072417</x:v>
      </x:c>
      <x:c r="G198" s="12" t="n">
        <x:f>Nguon!H199/Nguon!D199</x:f>
        <x:v>0.009707594468185336</x:v>
      </x:c>
      <x:c r="H198" s="12" t="n">
        <x:f>Nguon!I199/Nguon!E199</x:f>
        <x:v>0.013068541420776243</x:v>
      </x:c>
      <x:c r="I198" s="13" t="n">
        <x:f>(H198-G198)*100</x:f>
        <x:v>0.33609469525909075</x:v>
      </x:c>
      <x:c r="J198" s="11" t="n">
        <x:f>Nguon!G199-Nguon!I199</x:f>
        <x:v>8716</x:v>
      </x:c>
      <x:c r="K198" s="12" t="n">
        <x:f>Nguon!N199/Nguon!K199</x:f>
        <x:v>0.028399666766507365</x:v>
      </x:c>
      <x:c r="L198" s="12" t="n">
        <x:f>Nguon!O199/Nguon!K199</x:f>
        <x:v>0.009286761487036272</x:v>
      </x:c>
      <x:c r="M198" s="2"/>
      <x:c r="N198" s="2"/>
      <x:c r="O198" s="2"/>
      <x:c r="P198" s="2"/>
      <x:c r="Q198" s="2"/>
      <x:c r="R198" s="2"/>
      <x:c r="S198" s="2"/>
      <x:c r="T198" s="2"/>
      <x:c r="U198" s="2"/>
    </x:row>
    <x:row r="199" ht="26" customHeight="1">
      <x:c r="A199" s="2" t="str">
        <x:v>E08000035</x:v>
      </x:c>
      <x:c r="B199" s="2" t="str">
        <x:v>Trung học</x:v>
      </x:c>
      <x:c r="C199" s="2" t="str">
        <x:v>Leeds</x:v>
      </x:c>
      <x:c r="D199" s="12" t="n">
        <x:f>Nguon!F200/Nguon!D200</x:f>
        <x:v>0.21187807199891204</x:v>
      </x:c>
      <x:c r="E199" s="12" t="n">
        <x:f>Nguon!G200/Nguon!E200</x:f>
        <x:v>0.218728202743548</x:v>
      </x:c>
      <x:c r="F199" s="13" t="n">
        <x:f>(E199-D199)*100</x:f>
        <x:v>0.6850130744635974</x:v>
      </x:c>
      <x:c r="G199" s="12" t="n">
        <x:f>Nguon!H200/Nguon!D200</x:f>
        <x:v>0.04143920113457541</x:v>
      </x:c>
      <x:c r="H199" s="12" t="n">
        <x:f>Nguon!I200/Nguon!E200</x:f>
        <x:v>0.040959466790668836</x:v>
      </x:c>
      <x:c r="I199" s="13" t="n">
        <x:f>(H199-G199)*100</x:f>
        <x:v>-0.04797343439065724</x:v>
      </x:c>
      <x:c r="J199" s="11" t="n">
        <x:f>Nguon!G200-Nguon!I200</x:f>
        <x:v>9175</x:v>
      </x:c>
      <x:c r="K199" s="12" t="n">
        <x:f>Nguon!N200/Nguon!K200</x:f>
        <x:v>0.030644406526082975</x:v>
      </x:c>
      <x:c r="L199" s="12" t="n">
        <x:f>Nguon!O200/Nguon!K200</x:f>
        <x:v>0.032894582358196575</x:v>
      </x:c>
      <x:c r="M199" s="2"/>
      <x:c r="N199" s="2"/>
      <x:c r="O199" s="2"/>
      <x:c r="P199" s="2"/>
      <x:c r="Q199" s="2"/>
      <x:c r="R199" s="2"/>
      <x:c r="S199" s="2"/>
      <x:c r="T199" s="2"/>
      <x:c r="U199" s="2"/>
    </x:row>
    <x:row r="200" ht="26" customHeight="1">
      <x:c r="A200" s="2" t="str">
        <x:v>E08000036</x:v>
      </x:c>
      <x:c r="B200" s="2" t="str">
        <x:v>Tiểu học</x:v>
      </x:c>
      <x:c r="C200" s="2" t="str">
        <x:v>Wakefield</x:v>
      </x:c>
      <x:c r="D200" s="12" t="n">
        <x:f>Nguon!F201/Nguon!D201</x:f>
        <x:v>0.15416390631697907</x:v>
      </x:c>
      <x:c r="E200" s="12" t="n">
        <x:f>Nguon!G201/Nguon!E201</x:f>
        <x:v>0.1529834537771986</x:v>
      </x:c>
      <x:c r="F200" s="13" t="n">
        <x:f>(E200-D200)*100</x:f>
        <x:v>-0.11804525397804688</x:v>
      </x:c>
      <x:c r="G200" s="12" t="n">
        <x:f>Nguon!H201/Nguon!D201</x:f>
        <x:v>0.010365924944468259</x:v>
      </x:c>
      <x:c r="H200" s="12" t="n">
        <x:f>Nguon!I201/Nguon!E201</x:f>
        <x:v>0.010662243809975122</x:v>
      </x:c>
      <x:c r="I200" s="13" t="n">
        <x:f>(H200-G200)*100</x:f>
        <x:v>0.029631886550686264</x:v>
      </x:c>
      <x:c r="J200" s="11" t="n">
        <x:f>Nguon!G201-Nguon!I201</x:f>
        <x:v>3604</x:v>
      </x:c>
      <x:c r="K200" s="12" t="n">
        <x:f>Nguon!N201/Nguon!K201</x:f>
        <x:v>0.02998314423842958</x:v>
      </x:c>
      <x:c r="L200" s="12" t="n">
        <x:f>Nguon!O201/Nguon!K201</x:f>
        <x:v>0.0050397838195800175</x:v>
      </x:c>
      <x:c r="M200" s="2"/>
      <x:c r="N200" s="2"/>
      <x:c r="O200" s="2"/>
      <x:c r="P200" s="2"/>
      <x:c r="Q200" s="2"/>
      <x:c r="R200" s="2"/>
      <x:c r="S200" s="2"/>
      <x:c r="T200" s="2"/>
      <x:c r="U200" s="2"/>
    </x:row>
    <x:row r="201" ht="26" customHeight="1">
      <x:c r="A201" s="2" t="str">
        <x:v>E08000036</x:v>
      </x:c>
      <x:c r="B201" s="2" t="str">
        <x:v>Trung học</x:v>
      </x:c>
      <x:c r="C201" s="2" t="str">
        <x:v>Wakefield</x:v>
      </x:c>
      <x:c r="D201" s="12" t="n">
        <x:f>Nguon!F202/Nguon!D202</x:f>
        <x:v>0.2400456686170972</x:v>
      </x:c>
      <x:c r="E201" s="12" t="n">
        <x:f>Nguon!G202/Nguon!E202</x:f>
        <x:v>0.23786269675706428</x:v>
      </x:c>
      <x:c r="F201" s="13" t="n">
        <x:f>(E201-D201)*100</x:f>
        <x:v>-0.21829718600329118</x:v>
      </x:c>
      <x:c r="G201" s="12" t="n">
        <x:f>Nguon!H202/Nguon!D202</x:f>
        <x:v>0.04281432852861424</x:v>
      </x:c>
      <x:c r="H201" s="12" t="n">
        <x:f>Nguon!I202/Nguon!E202</x:f>
        <x:v>0.04551488716100891</x:v>
      </x:c>
      <x:c r="I201" s="13" t="n">
        <x:f>(H201-G201)*100</x:f>
        <x:v>0.270055863239467</x:v>
      </x:c>
      <x:c r="J201" s="11" t="n">
        <x:f>Nguon!G202-Nguon!I202</x:f>
        <x:v>4057</x:v>
      </x:c>
      <x:c r="K201" s="12" t="n">
        <x:f>Nguon!N202/Nguon!K202</x:f>
        <x:v>0.03619299324505616</x:v>
      </x:c>
      <x:c r="L201" s="12" t="n">
        <x:f>Nguon!O202/Nguon!K202</x:f>
        <x:v>0.03132316613639814</x:v>
      </x:c>
      <x:c r="M201" s="2"/>
      <x:c r="N201" s="2"/>
      <x:c r="O201" s="2"/>
      <x:c r="P201" s="2"/>
      <x:c r="Q201" s="2"/>
      <x:c r="R201" s="2"/>
      <x:c r="S201" s="2"/>
      <x:c r="T201" s="2"/>
      <x:c r="U201" s="2"/>
    </x:row>
    <x:row r="202" ht="26" customHeight="1">
      <x:c r="A202" s="2" t="str">
        <x:v>E08000037</x:v>
      </x:c>
      <x:c r="B202" s="2" t="str">
        <x:v>Tiểu học</x:v>
      </x:c>
      <x:c r="C202" s="2" t="str">
        <x:v>Gateshead</x:v>
      </x:c>
      <x:c r="D202" s="12" t="n">
        <x:f>Nguon!F203/Nguon!D203</x:f>
        <x:v>0.12658328055731474</x:v>
      </x:c>
      <x:c r="E202" s="12" t="n">
        <x:f>Nguon!G203/Nguon!E203</x:f>
        <x:v>0.14499918949586643</x:v>
      </x:c>
      <x:c r="F202" s="13" t="n">
        <x:f>(E202-D202)*100</x:f>
        <x:v>1.841590893855169</x:v>
      </x:c>
      <x:c r="G202" s="12" t="n">
        <x:f>Nguon!H203/Nguon!D203</x:f>
        <x:v>0.006649778340721976</x:v>
      </x:c>
      <x:c r="H202" s="12" t="n">
        <x:f>Nguon!I203/Nguon!E203</x:f>
        <x:v>0.00818609174906792</x:v>
      </x:c>
      <x:c r="I202" s="13" t="n">
        <x:f>(H202-G202)*100</x:f>
        <x:v>0.1536313408345944</x:v>
      </x:c>
      <x:c r="J202" s="11" t="n">
        <x:f>Nguon!G203-Nguon!I203</x:f>
        <x:v>1688</x:v>
      </x:c>
      <x:c r="K202" s="12" t="n">
        <x:f>Nguon!N203/Nguon!K203</x:f>
        <x:v>0.029931063885499244</x:v>
      </x:c>
      <x:c r="L202" s="12" t="n">
        <x:f>Nguon!O203/Nguon!K203</x:f>
        <x:v>0.005623544248413955</x:v>
      </x:c>
      <x:c r="M202" s="2"/>
      <x:c r="N202" s="2"/>
      <x:c r="O202" s="2"/>
      <x:c r="P202" s="2"/>
      <x:c r="Q202" s="2"/>
      <x:c r="R202" s="2"/>
      <x:c r="S202" s="2"/>
      <x:c r="T202" s="2"/>
      <x:c r="U202" s="2"/>
    </x:row>
    <x:row r="203" ht="26" customHeight="1">
      <x:c r="A203" s="2" t="str">
        <x:v>E08000037</x:v>
      </x:c>
      <x:c r="B203" s="2" t="str">
        <x:v>Trung học</x:v>
      </x:c>
      <x:c r="C203" s="2" t="str">
        <x:v>Gateshead</x:v>
      </x:c>
      <x:c r="D203" s="12" t="n">
        <x:f>Nguon!F204/Nguon!D204</x:f>
        <x:v>0.2246902248737953</x:v>
      </x:c>
      <x:c r="E203" s="12" t="n">
        <x:f>Nguon!G204/Nguon!E204</x:f>
        <x:v>0.2244310264746865</x:v>
      </x:c>
      <x:c r="F203" s="13" t="n">
        <x:f>(E203-D203)*100</x:f>
        <x:v>-0.02591983991088176</x:v>
      </x:c>
      <x:c r="G203" s="12" t="n">
        <x:f>Nguon!H204/Nguon!D204</x:f>
        <x:v>0.04497475906379073</x:v>
      </x:c>
      <x:c r="H203" s="12" t="n">
        <x:f>Nguon!I204/Nguon!E204</x:f>
        <x:v>0.0431026474686484</x:v>
      </x:c>
      <x:c r="I203" s="13" t="n">
        <x:f>(H203-G203)*100</x:f>
        <x:v>-0.1872111595142334</x:v>
      </x:c>
      <x:c r="J203" s="11" t="n">
        <x:f>Nguon!G204-Nguon!I204</x:f>
        <x:v>1952</x:v>
      </x:c>
      <x:c r="K203" s="12" t="n">
        <x:f>Nguon!N204/Nguon!K204</x:f>
        <x:v>0.035944386595676406</x:v>
      </x:c>
      <x:c r="L203" s="12" t="n">
        <x:f>Nguon!O204/Nguon!K204</x:f>
        <x:v>0.03141777507089203</x:v>
      </x:c>
      <x:c r="M203" s="2"/>
      <x:c r="N203" s="2"/>
      <x:c r="O203" s="2"/>
      <x:c r="P203" s="2"/>
      <x:c r="Q203" s="2"/>
      <x:c r="R203" s="2"/>
      <x:c r="S203" s="2"/>
      <x:c r="T203" s="2"/>
      <x:c r="U203" s="2"/>
    </x:row>
    <x:row r="204" ht="26" customHeight="1">
      <x:c r="A204" s="2" t="str">
        <x:v>E09000001</x:v>
      </x:c>
      <x:c r="B204" s="2" t="str">
        <x:v>Tiểu học</x:v>
      </x:c>
      <x:c r="C204" s="2" t="str">
        <x:v>City of London</x:v>
      </x:c>
      <x:c r="D204" s="12" t="n">
        <x:f>Nguon!F205/Nguon!D205</x:f>
        <x:v>0.08333333333333333</x:v>
      </x:c>
      <x:c r="E204" s="12" t="n">
        <x:f>Nguon!G205/Nguon!E205</x:f>
        <x:v>0.08522727272727272</x:v>
      </x:c>
      <x:c r="F204" s="13" t="n">
        <x:f>(E204-D204)*100</x:f>
        <x:v>0.18939393939393923</x:v>
      </x:c>
      <x:c r="G204" s="12" t="n">
        <x:f>Nguon!H205/Nguon!D205</x:f>
        <x:v>0</x:v>
      </x:c>
      <x:c r="H204" s="12" t="n">
        <x:f>Nguon!I205/Nguon!E205</x:f>
        <x:v>0</x:v>
      </x:c>
      <x:c r="I204" s="13" t="n">
        <x:f>(H204-G204)*100</x:f>
        <x:v>0</x:v>
      </x:c>
      <x:c r="J204" s="11" t="n">
        <x:f>Nguon!G205-Nguon!I205</x:f>
        <x:v>15</x:v>
      </x:c>
      <x:c r="K204" s="12" t="n">
        <x:f>Nguon!N205/Nguon!K205</x:f>
        <x:v>0.02542952561059027</x:v>
      </x:c>
      <x:c r="L204" s="12" t="n">
        <x:f>Nguon!O205/Nguon!K205</x:f>
        <x:v>0.002132539331267855</x:v>
      </x:c>
      <x:c r="M204" s="2"/>
      <x:c r="N204" s="2"/>
      <x:c r="O204" s="2"/>
      <x:c r="P204" s="2"/>
      <x:c r="Q204" s="2"/>
      <x:c r="R204" s="2"/>
      <x:c r="S204" s="2"/>
      <x:c r="T204" s="2"/>
      <x:c r="U204" s="2"/>
    </x:row>
    <x:row r="205" ht="26" customHeight="1">
      <x:c r="A205" s="2" t="str">
        <x:v>E09000002</x:v>
      </x:c>
      <x:c r="B205" s="2" t="str">
        <x:v>Tiểu học</x:v>
      </x:c>
      <x:c r="C205" s="2" t="str">
        <x:v>Barking and Dagenham</x:v>
      </x:c>
      <x:c r="D205" s="12" t="n">
        <x:f>Nguon!F206/Nguon!D206</x:f>
        <x:v>0.15632754342431762</x:v>
      </x:c>
      <x:c r="E205" s="12" t="n">
        <x:f>Nguon!G206/Nguon!E206</x:f>
        <x:v>0.16289683534781083</x:v>
      </x:c>
      <x:c r="F205" s="13" t="n">
        <x:f>(E205-D205)*100</x:f>
        <x:v>0.6569291923493203</x:v>
      </x:c>
      <x:c r="G205" s="12" t="n">
        <x:f>Nguon!H206/Nguon!D206</x:f>
        <x:v>0.009330024813895782</x:v>
      </x:c>
      <x:c r="H205" s="12" t="n">
        <x:f>Nguon!I206/Nguon!E206</x:f>
        <x:v>0.010080746276142234</x:v>
      </x:c>
      <x:c r="I205" s="13" t="n">
        <x:f>(H205-G205)*100</x:f>
        <x:v>0.07507214622464523</x:v>
      </x:c>
      <x:c r="J205" s="11" t="n">
        <x:f>Nguon!G206-Nguon!I206</x:f>
        <x:v>3047</x:v>
      </x:c>
      <x:c r="K205" s="12" t="n">
        <x:f>Nguon!N206/Nguon!K206</x:f>
        <x:v>0.030405468379080425</x:v>
      </x:c>
      <x:c r="L205" s="12" t="n">
        <x:f>Nguon!O206/Nguon!K206</x:f>
        <x:v>0.009516008831803558</x:v>
      </x:c>
      <x:c r="M205" s="2"/>
      <x:c r="N205" s="2"/>
      <x:c r="O205" s="2"/>
      <x:c r="P205" s="2"/>
      <x:c r="Q205" s="2"/>
      <x:c r="R205" s="2"/>
      <x:c r="S205" s="2"/>
      <x:c r="T205" s="2"/>
      <x:c r="U205" s="2"/>
    </x:row>
    <x:row r="206" ht="26" customHeight="1">
      <x:c r="A206" s="2" t="str">
        <x:v>E09000002</x:v>
      </x:c>
      <x:c r="B206" s="2" t="str">
        <x:v>Trung học</x:v>
      </x:c>
      <x:c r="C206" s="2" t="str">
        <x:v>Barking and Dagenham</x:v>
      </x:c>
      <x:c r="D206" s="12" t="n">
        <x:f>Nguon!F207/Nguon!D207</x:f>
        <x:v>0.16279574560451487</x:v>
      </x:c>
      <x:c r="E206" s="12" t="n">
        <x:f>Nguon!G207/Nguon!E207</x:f>
        <x:v>0.17424365868230948</x:v>
      </x:c>
      <x:c r="F206" s="13" t="n">
        <x:f>(E206-D206)*100</x:f>
        <x:v>1.1447913077794607</x:v>
      </x:c>
      <x:c r="G206" s="12" t="n">
        <x:f>Nguon!H207/Nguon!D207</x:f>
        <x:v>0.01622530931191665</x:v>
      </x:c>
      <x:c r="H206" s="12" t="n">
        <x:f>Nguon!I207/Nguon!E207</x:f>
        <x:v>0.01591439900059747</x:v>
      </x:c>
      <x:c r="I206" s="13" t="n">
        <x:f>(H206-G206)*100</x:f>
        <x:v>-0.03109103113191798</x:v>
      </x:c>
      <x:c r="J206" s="11" t="n">
        <x:f>Nguon!G207-Nguon!I207</x:f>
        <x:v>2915</x:v>
      </x:c>
      <x:c r="K206" s="12" t="n">
        <x:f>Nguon!N207/Nguon!K207</x:f>
        <x:v>0.029018496135373262</x:v>
      </x:c>
      <x:c r="L206" s="12" t="n">
        <x:f>Nguon!O207/Nguon!K207</x:f>
        <x:v>0.017509701326378066</x:v>
      </x:c>
      <x:c r="M206" s="2"/>
      <x:c r="N206" s="2"/>
      <x:c r="O206" s="2"/>
      <x:c r="P206" s="2"/>
      <x:c r="Q206" s="2"/>
      <x:c r="R206" s="2"/>
      <x:c r="S206" s="2"/>
      <x:c r="T206" s="2"/>
      <x:c r="U206" s="2"/>
    </x:row>
    <x:row r="207" ht="26" customHeight="1">
      <x:c r="A207" s="2" t="str">
        <x:v>E09000003</x:v>
      </x:c>
      <x:c r="B207" s="2" t="str">
        <x:v>Tiểu học</x:v>
      </x:c>
      <x:c r="C207" s="2" t="str">
        <x:v>Barnet</x:v>
      </x:c>
      <x:c r="D207" s="12" t="n">
        <x:f>Nguon!F208/Nguon!D208</x:f>
        <x:v>0.13381547764975077</x:v>
      </x:c>
      <x:c r="E207" s="12" t="n">
        <x:f>Nguon!G208/Nguon!E208</x:f>
        <x:v>0.12655179572347935</x:v>
      </x:c>
      <x:c r="F207" s="13" t="n">
        <x:f>(E207-D207)*100</x:f>
        <x:v>-0.7263681926271415</x:v>
      </x:c>
      <x:c r="G207" s="12" t="n">
        <x:f>Nguon!H208/Nguon!D208</x:f>
        <x:v>0.006905287243605459</x:v>
      </x:c>
      <x:c r="H207" s="12" t="n">
        <x:f>Nguon!I208/Nguon!E208</x:f>
        <x:v>0.009134315964293128</x:v>
      </x:c>
      <x:c r="I207" s="13" t="n">
        <x:f>(H207-G207)*100</x:f>
        <x:v>0.22290287206876694</x:v>
      </x:c>
      <x:c r="J207" s="11" t="n">
        <x:f>Nguon!G208-Nguon!I208</x:f>
        <x:v>2828</x:v>
      </x:c>
      <x:c r="K207" s="12" t="n">
        <x:f>Nguon!N208/Nguon!K208</x:f>
        <x:v>0.024681332490742242</x:v>
      </x:c>
      <x:c r="L207" s="12" t="n">
        <x:f>Nguon!O208/Nguon!K208</x:f>
        <x:v>0.006629983029701336</x:v>
      </x:c>
      <x:c r="M207" s="2"/>
      <x:c r="N207" s="2"/>
      <x:c r="O207" s="2"/>
      <x:c r="P207" s="2"/>
      <x:c r="Q207" s="2"/>
      <x:c r="R207" s="2"/>
      <x:c r="S207" s="2"/>
      <x:c r="T207" s="2"/>
      <x:c r="U207" s="2"/>
    </x:row>
    <x:row r="208" ht="26" customHeight="1">
      <x:c r="A208" s="2" t="str">
        <x:v>E09000003</x:v>
      </x:c>
      <x:c r="B208" s="2" t="str">
        <x:v>Trung học</x:v>
      </x:c>
      <x:c r="C208" s="2" t="str">
        <x:v>Barnet</x:v>
      </x:c>
      <x:c r="D208" s="12" t="n">
        <x:f>Nguon!F209/Nguon!D209</x:f>
        <x:v>0.15974772473255627</x:v>
      </x:c>
      <x:c r="E208" s="12" t="n">
        <x:f>Nguon!G209/Nguon!E209</x:f>
        <x:v>0.15105254700305318</x:v>
      </x:c>
      <x:c r="F208" s="13" t="n">
        <x:f>(E208-D208)*100</x:f>
        <x:v>-0.8695177729503095</x:v>
      </x:c>
      <x:c r="G208" s="12" t="n">
        <x:f>Nguon!H209/Nguon!D209</x:f>
        <x:v>0.015128532652083667</x:v>
      </x:c>
      <x:c r="H208" s="12" t="n">
        <x:f>Nguon!I209/Nguon!E209</x:f>
        <x:v>0.015868552145267556</x:v>
      </x:c>
      <x:c r="I208" s="13" t="n">
        <x:f>(H208-G208)*100</x:f>
        <x:v>0.07400194931838894</x:v>
      </x:c>
      <x:c r="J208" s="11" t="n">
        <x:f>Nguon!G209-Nguon!I209</x:f>
        <x:v>3365</x:v>
      </x:c>
      <x:c r="K208" s="12" t="n">
        <x:f>Nguon!N209/Nguon!K209</x:f>
        <x:v>0.029347586682604645</x:v>
      </x:c>
      <x:c r="L208" s="12" t="n">
        <x:f>Nguon!O209/Nguon!K209</x:f>
        <x:v>0.013815390941196992</x:v>
      </x:c>
      <x:c r="M208" s="2"/>
      <x:c r="N208" s="2"/>
      <x:c r="O208" s="2"/>
      <x:c r="P208" s="2"/>
      <x:c r="Q208" s="2"/>
      <x:c r="R208" s="2"/>
      <x:c r="S208" s="2"/>
      <x:c r="T208" s="2"/>
      <x:c r="U208" s="2"/>
    </x:row>
    <x:row r="209" ht="26" customHeight="1">
      <x:c r="A209" s="2" t="str">
        <x:v>E09000004</x:v>
      </x:c>
      <x:c r="B209" s="2" t="str">
        <x:v>Tiểu học</x:v>
      </x:c>
      <x:c r="C209" s="2" t="str">
        <x:v>Bexley</x:v>
      </x:c>
      <x:c r="D209" s="12" t="n">
        <x:f>Nguon!F210/Nguon!D210</x:f>
        <x:v>0.13416863841686383</x:v>
      </x:c>
      <x:c r="E209" s="12" t="n">
        <x:f>Nguon!G210/Nguon!E210</x:f>
        <x:v>0.13926081664269116</x:v>
      </x:c>
      <x:c r="F209" s="13" t="n">
        <x:f>(E209-D209)*100</x:f>
        <x:v>0.5092178225827332</x:v>
      </x:c>
      <x:c r="G209" s="12" t="n">
        <x:f>Nguon!H210/Nguon!D210</x:f>
        <x:v>0.006614325661432566</x:v>
      </x:c>
      <x:c r="H209" s="12" t="n">
        <x:f>Nguon!I210/Nguon!E210</x:f>
        <x:v>0.008077901958614584</x:v>
      </x:c>
      <x:c r="I209" s="13" t="n">
        <x:f>(H209-G209)*100</x:f>
        <x:v>0.1463576297182018</x:v>
      </x:c>
      <x:c r="J209" s="11" t="n">
        <x:f>Nguon!G210-Nguon!I210</x:f>
        <x:v>2371</x:v>
      </x:c>
      <x:c r="K209" s="12" t="n">
        <x:f>Nguon!N210/Nguon!K210</x:f>
        <x:v>0.029240886216555392</x:v>
      </x:c>
      <x:c r="L209" s="12" t="n">
        <x:f>Nguon!O210/Nguon!K210</x:f>
        <x:v>0.007490020932049198</x:v>
      </x:c>
      <x:c r="M209" s="2"/>
      <x:c r="N209" s="2"/>
      <x:c r="O209" s="2"/>
      <x:c r="P209" s="2"/>
      <x:c r="Q209" s="2"/>
      <x:c r="R209" s="2"/>
      <x:c r="S209" s="2"/>
      <x:c r="T209" s="2"/>
      <x:c r="U209" s="2"/>
    </x:row>
    <x:row r="210" ht="26" customHeight="1">
      <x:c r="A210" s="2" t="str">
        <x:v>E09000004</x:v>
      </x:c>
      <x:c r="B210" s="2" t="str">
        <x:v>Trung học</x:v>
      </x:c>
      <x:c r="C210" s="2" t="str">
        <x:v>Bexley</x:v>
      </x:c>
      <x:c r="D210" s="12" t="n">
        <x:f>Nguon!F211/Nguon!D211</x:f>
        <x:v>0.18304007820136853</x:v>
      </x:c>
      <x:c r="E210" s="12" t="n">
        <x:f>Nguon!G211/Nguon!E211</x:f>
        <x:v>0.18081731666355663</x:v>
      </x:c>
      <x:c r="F210" s="13" t="n">
        <x:f>(E210-D210)*100</x:f>
        <x:v>-0.2222761537811896</x:v>
      </x:c>
      <x:c r="G210" s="12" t="n">
        <x:f>Nguon!H211/Nguon!D211</x:f>
        <x:v>0.02333822091886608</x:v>
      </x:c>
      <x:c r="H210" s="12" t="n">
        <x:f>Nguon!I211/Nguon!E211</x:f>
        <x:v>0.021645829445792124</x:v>
      </x:c>
      <x:c r="I210" s="13" t="n">
        <x:f>(H210-G210)*100</x:f>
        <x:v>-0.16923914730739564</x:v>
      </x:c>
      <x:c r="J210" s="11" t="n">
        <x:f>Nguon!G211-Nguon!I211</x:f>
        <x:v>2559</x:v>
      </x:c>
      <x:c r="K210" s="12" t="n">
        <x:f>Nguon!N211/Nguon!K211</x:f>
        <x:v>0.03571530365418708</x:v>
      </x:c>
      <x:c r="L210" s="12" t="n">
        <x:f>Nguon!O211/Nguon!K211</x:f>
        <x:v>0.015359423721148529</x:v>
      </x:c>
      <x:c r="M210" s="2"/>
      <x:c r="N210" s="2"/>
      <x:c r="O210" s="2"/>
      <x:c r="P210" s="2"/>
      <x:c r="Q210" s="2"/>
      <x:c r="R210" s="2"/>
      <x:c r="S210" s="2"/>
      <x:c r="T210" s="2"/>
      <x:c r="U210" s="2"/>
    </x:row>
    <x:row r="211" ht="26" customHeight="1">
      <x:c r="A211" s="2" t="str">
        <x:v>E09000005</x:v>
      </x:c>
      <x:c r="B211" s="2" t="str">
        <x:v>Tiểu học</x:v>
      </x:c>
      <x:c r="C211" s="2" t="str">
        <x:v>Brent</x:v>
      </x:c>
      <x:c r="D211" s="12" t="n">
        <x:f>Nguon!F212/Nguon!D212</x:f>
        <x:v>0.13710240767475435</x:v>
      </x:c>
      <x:c r="E211" s="12" t="n">
        <x:f>Nguon!G212/Nguon!E212</x:f>
        <x:v>0.13812833971721758</x:v>
      </x:c>
      <x:c r="F211" s="13" t="n">
        <x:f>(E211-D211)*100</x:f>
        <x:v>0.10259320424632346</x:v>
      </x:c>
      <x:c r="G211" s="12" t="n">
        <x:f>Nguon!H212/Nguon!D212</x:f>
        <x:v>0.008382620034461882</x:v>
      </x:c>
      <x:c r="H211" s="12" t="n">
        <x:f>Nguon!I212/Nguon!E212</x:f>
        <x:v>0.008417269589067007</x:v>
      </x:c>
      <x:c r="I211" s="13" t="n">
        <x:f>(H211-G211)*100</x:f>
        <x:v>0.0034649554605125157</x:v>
      </x:c>
      <x:c r="J211" s="11" t="n">
        <x:f>Nguon!G212-Nguon!I212</x:f>
        <x:v>2743</x:v>
      </x:c>
      <x:c r="K211" s="12" t="n">
        <x:f>Nguon!N212/Nguon!K212</x:f>
        <x:v>0.027862418887201437</x:v>
      </x:c>
      <x:c r="L211" s="12" t="n">
        <x:f>Nguon!O212/Nguon!K212</x:f>
        <x:v>0.007564199917161397</x:v>
      </x:c>
      <x:c r="M211" s="2"/>
      <x:c r="N211" s="2"/>
      <x:c r="O211" s="2"/>
      <x:c r="P211" s="2"/>
      <x:c r="Q211" s="2"/>
      <x:c r="R211" s="2"/>
      <x:c r="S211" s="2"/>
      <x:c r="T211" s="2"/>
      <x:c r="U211" s="2"/>
    </x:row>
    <x:row r="212" ht="26" customHeight="1">
      <x:c r="A212" s="2" t="str">
        <x:v>E09000005</x:v>
      </x:c>
      <x:c r="B212" s="2" t="str">
        <x:v>Trung học</x:v>
      </x:c>
      <x:c r="C212" s="2" t="str">
        <x:v>Brent</x:v>
      </x:c>
      <x:c r="D212" s="12" t="n">
        <x:f>Nguon!F213/Nguon!D213</x:f>
        <x:v>0.1660045879259218</x:v>
      </x:c>
      <x:c r="E212" s="12" t="n">
        <x:f>Nguon!G213/Nguon!E213</x:f>
        <x:v>0.17780643714253672</x:v>
      </x:c>
      <x:c r="F212" s="13" t="n">
        <x:f>(E212-D212)*100</x:f>
        <x:v>1.1801849216614924</x:v>
      </x:c>
      <x:c r="G212" s="12" t="n">
        <x:f>Nguon!H213/Nguon!D213</x:f>
        <x:v>0.015330386616684384</x:v>
      </x:c>
      <x:c r="H212" s="12" t="n">
        <x:f>Nguon!I213/Nguon!E213</x:f>
        <x:v>0.01429853089604127</x:v>
      </x:c>
      <x:c r="I212" s="13" t="n">
        <x:f>(H212-G212)*100</x:f>
        <x:v>-0.10318557206431145</x:v>
      </x:c>
      <x:c r="J212" s="11" t="n">
        <x:f>Nguon!G213-Nguon!I213</x:f>
        <x:v>2916</x:v>
      </x:c>
      <x:c r="K212" s="12" t="n">
        <x:f>Nguon!N213/Nguon!K213</x:f>
        <x:v>0.03002379950748593</x:v>
      </x:c>
      <x:c r="L212" s="12" t="n">
        <x:f>Nguon!O213/Nguon!K213</x:f>
        <x:v>0.014438199263336534</x:v>
      </x:c>
      <x:c r="M212" s="2"/>
      <x:c r="N212" s="2"/>
      <x:c r="O212" s="2"/>
      <x:c r="P212" s="2"/>
      <x:c r="Q212" s="2"/>
      <x:c r="R212" s="2"/>
      <x:c r="S212" s="2"/>
      <x:c r="T212" s="2"/>
      <x:c r="U212" s="2"/>
    </x:row>
    <x:row r="213" ht="26" customHeight="1">
      <x:c r="A213" s="2" t="str">
        <x:v>E09000006</x:v>
      </x:c>
      <x:c r="B213" s="2" t="str">
        <x:v>Tiểu học</x:v>
      </x:c>
      <x:c r="C213" s="2" t="str">
        <x:v>Bromley</x:v>
      </x:c>
      <x:c r="D213" s="12" t="n">
        <x:f>Nguon!F214/Nguon!D214</x:f>
        <x:v>0.13240020297699595</x:v>
      </x:c>
      <x:c r="E213" s="12" t="n">
        <x:f>Nguon!G214/Nguon!E214</x:f>
        <x:v>0.12891540592371617</x:v>
      </x:c>
      <x:c r="F213" s="13" t="n">
        <x:f>(E213-D213)*100</x:f>
        <x:v>-0.3484797053279781</x:v>
      </x:c>
      <x:c r="G213" s="12" t="n">
        <x:f>Nguon!H214/Nguon!D214</x:f>
        <x:v>0.006596752368064953</x:v>
      </x:c>
      <x:c r="H213" s="12" t="n">
        <x:f>Nguon!I214/Nguon!E214</x:f>
        <x:v>0.007074366077136161</x:v>
      </x:c>
      <x:c r="I213" s="13" t="n">
        <x:f>(H213-G213)*100</x:f>
        <x:v>0.0477613709071208</x:v>
      </x:c>
      <x:c r="J213" s="11" t="n">
        <x:f>Nguon!G214-Nguon!I214</x:f>
        <x:v>2859</x:v>
      </x:c>
      <x:c r="K213" s="12" t="n">
        <x:f>Nguon!N214/Nguon!K214</x:f>
        <x:v>0.027181407893066917</x:v>
      </x:c>
      <x:c r="L213" s="12" t="n">
        <x:f>Nguon!O214/Nguon!K214</x:f>
        <x:v>0.005647847541498326</x:v>
      </x:c>
      <x:c r="M213" s="2"/>
      <x:c r="N213" s="2"/>
      <x:c r="O213" s="2"/>
      <x:c r="P213" s="2"/>
      <x:c r="Q213" s="2"/>
      <x:c r="R213" s="2"/>
      <x:c r="S213" s="2"/>
      <x:c r="T213" s="2"/>
      <x:c r="U213" s="2"/>
    </x:row>
    <x:row r="214" ht="26" customHeight="1">
      <x:c r="A214" s="2" t="str">
        <x:v>E09000006</x:v>
      </x:c>
      <x:c r="B214" s="2" t="str">
        <x:v>Trung học</x:v>
      </x:c>
      <x:c r="C214" s="2" t="str">
        <x:v>Bromley</x:v>
      </x:c>
      <x:c r="D214" s="12" t="n">
        <x:f>Nguon!F215/Nguon!D215</x:f>
        <x:v>0.18486739469578783</x:v>
      </x:c>
      <x:c r="E214" s="12" t="n">
        <x:f>Nguon!G215/Nguon!E215</x:f>
        <x:v>0.18015885539950555</x:v>
      </x:c>
      <x:c r="F214" s="13" t="n">
        <x:f>(E214-D214)*100</x:f>
        <x:v>-0.4708539296282288</x:v>
      </x:c>
      <x:c r="G214" s="12" t="n">
        <x:f>Nguon!H215/Nguon!D215</x:f>
        <x:v>0.021632865314612584</x:v>
      </x:c>
      <x:c r="H214" s="12" t="n">
        <x:f>Nguon!I215/Nguon!E215</x:f>
        <x:v>0.020409236757666614</x:v>
      </x:c>
      <x:c r="I214" s="13" t="n">
        <x:f>(H214-G214)*100</x:f>
        <x:v>-0.12236285569459694</x:v>
      </x:c>
      <x:c r="J214" s="11" t="n">
        <x:f>Nguon!G215-Nguon!I215</x:f>
        <x:v>3037</x:v>
      </x:c>
      <x:c r="K214" s="12" t="n">
        <x:f>Nguon!N215/Nguon!K215</x:f>
        <x:v>0.03770322132723053</x:v>
      </x:c>
      <x:c r="L214" s="12" t="n">
        <x:f>Nguon!O215/Nguon!K215</x:f>
        <x:v>0.014955530770071421</x:v>
      </x:c>
      <x:c r="M214" s="2"/>
      <x:c r="N214" s="2"/>
      <x:c r="O214" s="2"/>
      <x:c r="P214" s="2"/>
      <x:c r="Q214" s="2"/>
      <x:c r="R214" s="2"/>
      <x:c r="S214" s="2"/>
      <x:c r="T214" s="2"/>
      <x:c r="U214" s="2"/>
    </x:row>
    <x:row r="215" ht="26" customHeight="1">
      <x:c r="A215" s="2" t="str">
        <x:v>E09000007</x:v>
      </x:c>
      <x:c r="B215" s="2" t="str">
        <x:v>Tiểu học</x:v>
      </x:c>
      <x:c r="C215" s="2" t="str">
        <x:v>Camden</x:v>
      </x:c>
      <x:c r="D215" s="12" t="n">
        <x:f>Nguon!F216/Nguon!D216</x:f>
        <x:v>0.1712957298421632</x:v>
      </x:c>
      <x:c r="E215" s="12" t="n">
        <x:f>Nguon!G216/Nguon!E216</x:f>
        <x:v>0.1738308332282869</x:v>
      </x:c>
      <x:c r="F215" s="13" t="n">
        <x:f>(E215-D215)*100</x:f>
        <x:v>0.25351033861236993</x:v>
      </x:c>
      <x:c r="G215" s="12" t="n">
        <x:f>Nguon!H216/Nguon!D216</x:f>
        <x:v>0.010522451976018598</x:v>
      </x:c>
      <x:c r="H215" s="12" t="n">
        <x:f>Nguon!I216/Nguon!E216</x:f>
        <x:v>0.007437287280978192</x:v>
      </x:c>
      <x:c r="I215" s="13" t="n">
        <x:f>(H215-G215)*100</x:f>
        <x:v>-0.3085164695040406</x:v>
      </x:c>
      <x:c r="J215" s="11" t="n">
        <x:f>Nguon!G216-Nguon!I216</x:f>
        <x:v>1320</x:v>
      </x:c>
      <x:c r="K215" s="12" t="n">
        <x:f>Nguon!N216/Nguon!K216</x:f>
        <x:v>0.03352534058925217</x:v>
      </x:c>
      <x:c r="L215" s="12" t="n">
        <x:f>Nguon!O216/Nguon!K216</x:f>
        <x:v>0.006805098519246937</x:v>
      </x:c>
      <x:c r="M215" s="2"/>
      <x:c r="N215" s="2"/>
      <x:c r="O215" s="2"/>
      <x:c r="P215" s="2"/>
      <x:c r="Q215" s="2"/>
      <x:c r="R215" s="2"/>
      <x:c r="S215" s="2"/>
      <x:c r="T215" s="2"/>
      <x:c r="U215" s="2"/>
    </x:row>
    <x:row r="216" ht="26" customHeight="1">
      <x:c r="A216" s="2" t="str">
        <x:v>E09000007</x:v>
      </x:c>
      <x:c r="B216" s="2" t="str">
        <x:v>Trung học</x:v>
      </x:c>
      <x:c r="C216" s="2" t="str">
        <x:v>Camden</x:v>
      </x:c>
      <x:c r="D216" s="12" t="n">
        <x:f>Nguon!F217/Nguon!D217</x:f>
        <x:v>0.24872414719312383</x:v>
      </x:c>
      <x:c r="E216" s="12" t="n">
        <x:f>Nguon!G217/Nguon!E217</x:f>
        <x:v>0.2525266704098821</x:v>
      </x:c>
      <x:c r="F216" s="13" t="n">
        <x:f>(E216-D216)*100</x:f>
        <x:v>0.38025232167582523</x:v>
      </x:c>
      <x:c r="G216" s="12" t="n">
        <x:f>Nguon!H217/Nguon!D217</x:f>
        <x:v>0.03156056943325275</x:v>
      </x:c>
      <x:c r="H216" s="12" t="n">
        <x:f>Nguon!I217/Nguon!E217</x:f>
        <x:v>0.03747894441325098</x:v>
      </x:c>
      <x:c r="I216" s="13" t="n">
        <x:f>(H216-G216)*100</x:f>
        <x:v>0.5918374979998232</x:v>
      </x:c>
      <x:c r="J216" s="11" t="n">
        <x:f>Nguon!G217-Nguon!I217</x:f>
        <x:v>1532</x:v>
      </x:c>
      <x:c r="K216" s="12" t="n">
        <x:f>Nguon!N217/Nguon!K217</x:f>
        <x:v>0.041395798718375273</x:v>
      </x:c>
      <x:c r="L216" s="12" t="n">
        <x:f>Nguon!O217/Nguon!K217</x:f>
        <x:v>0.02418729314719113</x:v>
      </x:c>
      <x:c r="M216" s="2"/>
      <x:c r="N216" s="2"/>
      <x:c r="O216" s="2"/>
      <x:c r="P216" s="2"/>
      <x:c r="Q216" s="2"/>
      <x:c r="R216" s="2"/>
      <x:c r="S216" s="2"/>
      <x:c r="T216" s="2"/>
      <x:c r="U216" s="2"/>
    </x:row>
    <x:row r="217" ht="26" customHeight="1">
      <x:c r="A217" s="2" t="str">
        <x:v>E09000008</x:v>
      </x:c>
      <x:c r="B217" s="2" t="str">
        <x:v>Tiểu học</x:v>
      </x:c>
      <x:c r="C217" s="2" t="str">
        <x:v>Croydon</x:v>
      </x:c>
      <x:c r="D217" s="12" t="n">
        <x:f>Nguon!F218/Nguon!D218</x:f>
        <x:v>0.15557120616798872</x:v>
      </x:c>
      <x:c r="E217" s="12" t="n">
        <x:f>Nguon!G218/Nguon!E218</x:f>
        <x:v>0.15831046503003782</x:v>
      </x:c>
      <x:c r="F217" s="13" t="n">
        <x:f>(E217-D217)*100</x:f>
        <x:v>0.2739258862049093</x:v>
      </x:c>
      <x:c r="G217" s="12" t="n">
        <x:f>Nguon!H218/Nguon!D218</x:f>
        <x:v>0.010860701312180296</x:v>
      </x:c>
      <x:c r="H217" s="12" t="n">
        <x:f>Nguon!I218/Nguon!E218</x:f>
        <x:v>0.011162204257212786</x:v>
      </x:c>
      <x:c r="I217" s="13" t="n">
        <x:f>(H217-G217)*100</x:f>
        <x:v>0.030150294503249013</x:v>
      </x:c>
      <x:c r="J217" s="11" t="n">
        <x:f>Nguon!G218-Nguon!I218</x:f>
        <x:v>3968</x:v>
      </x:c>
      <x:c r="K217" s="12" t="n">
        <x:f>Nguon!N218/Nguon!K218</x:f>
        <x:v>0.030399660440137668</x:v>
      </x:c>
      <x:c r="L217" s="12" t="n">
        <x:f>Nguon!O218/Nguon!K218</x:f>
        <x:v>0.00825617254671523</x:v>
      </x:c>
      <x:c r="M217" s="2"/>
      <x:c r="N217" s="2"/>
      <x:c r="O217" s="2"/>
      <x:c r="P217" s="2"/>
      <x:c r="Q217" s="2"/>
      <x:c r="R217" s="2"/>
      <x:c r="S217" s="2"/>
      <x:c r="T217" s="2"/>
      <x:c r="U217" s="2"/>
    </x:row>
    <x:row r="218" ht="26" customHeight="1">
      <x:c r="A218" s="2" t="str">
        <x:v>E09000008</x:v>
      </x:c>
      <x:c r="B218" s="2" t="str">
        <x:v>Trung học</x:v>
      </x:c>
      <x:c r="C218" s="2" t="str">
        <x:v>Croydon</x:v>
      </x:c>
      <x:c r="D218" s="12" t="n">
        <x:f>Nguon!F219/Nguon!D219</x:f>
        <x:v>0.21479366987179488</x:v>
      </x:c>
      <x:c r="E218" s="12" t="n">
        <x:f>Nguon!G219/Nguon!E219</x:f>
        <x:v>0.21354979706525132</x:v>
      </x:c>
      <x:c r="F218" s="13" t="n">
        <x:f>(E218-D218)*100</x:f>
        <x:v>-0.12438728065435611</x:v>
      </x:c>
      <x:c r="G218" s="12" t="n">
        <x:f>Nguon!H219/Nguon!D219</x:f>
        <x:v>0.024389022435897436</x:v>
      </x:c>
      <x:c r="H218" s="12" t="n">
        <x:f>Nguon!I219/Nguon!E219</x:f>
        <x:v>0.02372775522947237</x:v>
      </x:c>
      <x:c r="I218" s="13" t="n">
        <x:f>(H218-G218)*100</x:f>
        <x:v>-0.06612672064250646</x:v>
      </x:c>
      <x:c r="J218" s="11" t="n">
        <x:f>Nguon!G219-Nguon!I219</x:f>
        <x:v>3648</x:v>
      </x:c>
      <x:c r="K218" s="12" t="n">
        <x:f>Nguon!N219/Nguon!K219</x:f>
        <x:v>0.03354603638269661</x:v>
      </x:c>
      <x:c r="L218" s="12" t="n">
        <x:f>Nguon!O219/Nguon!K219</x:f>
        <x:v>0.021845310807866655</x:v>
      </x:c>
      <x:c r="M218" s="2"/>
      <x:c r="N218" s="2"/>
      <x:c r="O218" s="2"/>
      <x:c r="P218" s="2"/>
      <x:c r="Q218" s="2"/>
      <x:c r="R218" s="2"/>
      <x:c r="S218" s="2"/>
      <x:c r="T218" s="2"/>
      <x:c r="U218" s="2"/>
    </x:row>
    <x:row r="219" ht="26" customHeight="1">
      <x:c r="A219" s="2" t="str">
        <x:v>E09000009</x:v>
      </x:c>
      <x:c r="B219" s="2" t="str">
        <x:v>Tiểu học</x:v>
      </x:c>
      <x:c r="C219" s="2" t="str">
        <x:v>Ealing</x:v>
      </x:c>
      <x:c r="D219" s="12" t="n">
        <x:f>Nguon!F220/Nguon!D220</x:f>
        <x:v>0.1442460884840067</x:v>
      </x:c>
      <x:c r="E219" s="12" t="n">
        <x:f>Nguon!G220/Nguon!E220</x:f>
        <x:v>0.13827773337259686</x:v>
      </x:c>
      <x:c r="F219" s="13" t="n">
        <x:f>(E219-D219)*100</x:f>
        <x:v>-0.5968355111409834</x:v>
      </x:c>
      <x:c r="G219" s="12" t="n">
        <x:f>Nguon!H220/Nguon!D220</x:f>
        <x:v>0.011397524408676824</x:v>
      </x:c>
      <x:c r="H219" s="12" t="n">
        <x:f>Nguon!I220/Nguon!E220</x:f>
        <x:v>0.014008666021622986</x:v>
      </x:c>
      <x:c r="I219" s="13" t="n">
        <x:f>(H219-G219)*100</x:f>
        <x:v>0.2611141612946162</x:v>
      </x:c>
      <x:c r="J219" s="11" t="n">
        <x:f>Nguon!G220-Nguon!I220</x:f>
        <x:v>2954</x:v>
      </x:c>
      <x:c r="K219" s="12" t="n">
        <x:f>Nguon!N220/Nguon!K220</x:f>
        <x:v>0.028694436025429888</x:v>
      </x:c>
      <x:c r="L219" s="12" t="n">
        <x:f>Nguon!O220/Nguon!K220</x:f>
        <x:v>0.00691434393155402</x:v>
      </x:c>
      <x:c r="M219" s="2"/>
      <x:c r="N219" s="2"/>
      <x:c r="O219" s="2"/>
      <x:c r="P219" s="2"/>
      <x:c r="Q219" s="2"/>
      <x:c r="R219" s="2"/>
      <x:c r="S219" s="2"/>
      <x:c r="T219" s="2"/>
      <x:c r="U219" s="2"/>
    </x:row>
    <x:row r="220" ht="26" customHeight="1">
      <x:c r="A220" s="2" t="str">
        <x:v>E09000009</x:v>
      </x:c>
      <x:c r="B220" s="2" t="str">
        <x:v>Trung học</x:v>
      </x:c>
      <x:c r="C220" s="2" t="str">
        <x:v>Ealing</x:v>
      </x:c>
      <x:c r="D220" s="12" t="n">
        <x:f>Nguon!F221/Nguon!D221</x:f>
        <x:v>0.17792663143021614</x:v>
      </x:c>
      <x:c r="E220" s="12" t="n">
        <x:f>Nguon!G221/Nguon!E221</x:f>
        <x:v>0.17465069860279442</x:v>
      </x:c>
      <x:c r="F220" s="13" t="n">
        <x:f>(E220-D220)*100</x:f>
        <x:v>-0.32759328274217236</x:v>
      </x:c>
      <x:c r="G220" s="12" t="n">
        <x:f>Nguon!H221/Nguon!D221</x:f>
        <x:v>0.023549112983410957</x:v>
      </x:c>
      <x:c r="H220" s="12" t="n">
        <x:f>Nguon!I221/Nguon!E221</x:f>
        <x:v>0.019329761529572435</x:v>
      </x:c>
      <x:c r="I220" s="13" t="n">
        <x:f>(H220-G220)*100</x:f>
        <x:v>-0.4219351453838522</x:v>
      </x:c>
      <x:c r="J220" s="11" t="n">
        <x:f>Nguon!G221-Nguon!I221</x:f>
        <x:v>2957</x:v>
      </x:c>
      <x:c r="K220" s="12" t="n">
        <x:f>Nguon!N221/Nguon!K221</x:f>
        <x:v>0.02990358159751774</x:v>
      </x:c>
      <x:c r="L220" s="12" t="n">
        <x:f>Nguon!O221/Nguon!K221</x:f>
        <x:v>0.01611363117278066</x:v>
      </x:c>
      <x:c r="M220" s="2"/>
      <x:c r="N220" s="2"/>
      <x:c r="O220" s="2"/>
      <x:c r="P220" s="2"/>
      <x:c r="Q220" s="2"/>
      <x:c r="R220" s="2"/>
      <x:c r="S220" s="2"/>
      <x:c r="T220" s="2"/>
      <x:c r="U220" s="2"/>
    </x:row>
    <x:row r="221" ht="26" customHeight="1">
      <x:c r="A221" s="2" t="str">
        <x:v>E09000010</x:v>
      </x:c>
      <x:c r="B221" s="2" t="str">
        <x:v>Tiểu học</x:v>
      </x:c>
      <x:c r="C221" s="2" t="str">
        <x:v>Enfield</x:v>
      </x:c>
      <x:c r="D221" s="12" t="n">
        <x:f>Nguon!F222/Nguon!D222</x:f>
        <x:v>0.1422828908801608</x:v>
      </x:c>
      <x:c r="E221" s="12" t="n">
        <x:f>Nguon!G222/Nguon!E222</x:f>
        <x:v>0.15293965850931143</x:v>
      </x:c>
      <x:c r="F221" s="13" t="n">
        <x:f>(E221-D221)*100</x:f>
        <x:v>1.0656767629150632</x:v>
      </x:c>
      <x:c r="G221" s="12" t="n">
        <x:f>Nguon!H222/Nguon!D222</x:f>
        <x:v>0.010384389917092372</x:v>
      </x:c>
      <x:c r="H221" s="12" t="n">
        <x:f>Nguon!I222/Nguon!E222</x:f>
        <x:v>0.012601608532966324</x:v>
      </x:c>
      <x:c r="I221" s="13" t="n">
        <x:f>(H221-G221)*100</x:f>
        <x:v>0.22172186158739526</x:v>
      </x:c>
      <x:c r="J221" s="11" t="n">
        <x:f>Nguon!G222-Nguon!I222</x:f>
        <x:v>3263</x:v>
      </x:c>
      <x:c r="K221" s="12" t="n">
        <x:f>Nguon!N222/Nguon!K222</x:f>
        <x:v>0.028485219100993133</x:v>
      </x:c>
      <x:c r="L221" s="12" t="n">
        <x:f>Nguon!O222/Nguon!K222</x:f>
        <x:v>0.011843916183516918</x:v>
      </x:c>
      <x:c r="M221" s="2"/>
      <x:c r="N221" s="2"/>
      <x:c r="O221" s="2"/>
      <x:c r="P221" s="2"/>
      <x:c r="Q221" s="2"/>
      <x:c r="R221" s="2"/>
      <x:c r="S221" s="2"/>
      <x:c r="T221" s="2"/>
      <x:c r="U221" s="2"/>
    </x:row>
    <x:row r="222" ht="26" customHeight="1">
      <x:c r="A222" s="2" t="str">
        <x:v>E09000010</x:v>
      </x:c>
      <x:c r="B222" s="2" t="str">
        <x:v>Trung học</x:v>
      </x:c>
      <x:c r="C222" s="2" t="str">
        <x:v>Enfield</x:v>
      </x:c>
      <x:c r="D222" s="12" t="n">
        <x:f>Nguon!F223/Nguon!D223</x:f>
        <x:v>0.19051038973475054</x:v>
      </x:c>
      <x:c r="E222" s="12" t="n">
        <x:f>Nguon!G223/Nguon!E223</x:f>
        <x:v>0.19509803921568628</x:v>
      </x:c>
      <x:c r="F222" s="13" t="n">
        <x:f>(E222-D222)*100</x:f>
        <x:v>0.4587649480935735</x:v>
      </x:c>
      <x:c r="G222" s="12" t="n">
        <x:f>Nguon!H223/Nguon!D223</x:f>
        <x:v>0.01958249545149861</x:v>
      </x:c>
      <x:c r="H222" s="12" t="n">
        <x:f>Nguon!I223/Nguon!E223</x:f>
        <x:v>0.017058823529411765</x:v>
      </x:c>
      <x:c r="I222" s="13" t="n">
        <x:f>(H222-G222)*100</x:f>
        <x:v>-0.2523671922086846</x:v>
      </x:c>
      <x:c r="J222" s="11" t="n">
        <x:f>Nguon!G223-Nguon!I223</x:f>
        <x:v>3632</x:v>
      </x:c>
      <x:c r="K222" s="12" t="n">
        <x:f>Nguon!N223/Nguon!K223</x:f>
        <x:v>0.030228414301527645</x:v>
      </x:c>
      <x:c r="L222" s="12" t="n">
        <x:f>Nguon!O223/Nguon!K223</x:f>
        <x:v>0.02093423841194674</x:v>
      </x:c>
      <x:c r="M222" s="2"/>
      <x:c r="N222" s="2"/>
      <x:c r="O222" s="2"/>
      <x:c r="P222" s="2"/>
      <x:c r="Q222" s="2"/>
      <x:c r="R222" s="2"/>
      <x:c r="S222" s="2"/>
      <x:c r="T222" s="2"/>
      <x:c r="U222" s="2"/>
    </x:row>
    <x:row r="223" ht="26" customHeight="1">
      <x:c r="A223" s="2" t="str">
        <x:v>E09000011</x:v>
      </x:c>
      <x:c r="B223" s="2" t="str">
        <x:v>Tiểu học</x:v>
      </x:c>
      <x:c r="C223" s="2" t="str">
        <x:v>Greenwich</x:v>
      </x:c>
      <x:c r="D223" s="12" t="n">
        <x:f>Nguon!F224/Nguon!D224</x:f>
        <x:v>0.13178913738019168</x:v>
      </x:c>
      <x:c r="E223" s="12" t="n">
        <x:f>Nguon!G224/Nguon!E224</x:f>
        <x:v>0.13723771717275868</x:v>
      </x:c>
      <x:c r="F223" s="13" t="n">
        <x:f>(E223-D223)*100</x:f>
        <x:v>0.5448579792566993</x:v>
      </x:c>
      <x:c r="G223" s="12" t="n">
        <x:f>Nguon!H224/Nguon!D224</x:f>
        <x:v>0.006190095846645367</x:v>
      </x:c>
      <x:c r="H223" s="12" t="n">
        <x:f>Nguon!I224/Nguon!E224</x:f>
        <x:v>0.007836263339691705</x:v>
      </x:c>
      <x:c r="I223" s="13" t="n">
        <x:f>(H223-G223)*100</x:f>
        <x:v>0.16461674930463377</x:v>
      </x:c>
      <x:c r="J223" s="11" t="n">
        <x:f>Nguon!G224-Nguon!I224</x:f>
        <x:v>2510</x:v>
      </x:c>
      <x:c r="K223" s="12" t="n">
        <x:f>Nguon!N224/Nguon!K224</x:f>
        <x:v>0.024458639680806273</x:v>
      </x:c>
      <x:c r="L223" s="12" t="n">
        <x:f>Nguon!O224/Nguon!K224</x:f>
        <x:v>0.011325301382499353</x:v>
      </x:c>
      <x:c r="M223" s="2"/>
      <x:c r="N223" s="2"/>
      <x:c r="O223" s="2"/>
      <x:c r="P223" s="2"/>
      <x:c r="Q223" s="2"/>
      <x:c r="R223" s="2"/>
      <x:c r="S223" s="2"/>
      <x:c r="T223" s="2"/>
      <x:c r="U223" s="2"/>
    </x:row>
    <x:row r="224" ht="26" customHeight="1">
      <x:c r="A224" s="2" t="str">
        <x:v>E09000011</x:v>
      </x:c>
      <x:c r="B224" s="2" t="str">
        <x:v>Trung học</x:v>
      </x:c>
      <x:c r="C224" s="2" t="str">
        <x:v>Greenwich</x:v>
      </x:c>
      <x:c r="D224" s="12" t="n">
        <x:f>Nguon!F225/Nguon!D225</x:f>
        <x:v>0.18851117978549356</x:v>
      </x:c>
      <x:c r="E224" s="12" t="n">
        <x:f>Nguon!G225/Nguon!E225</x:f>
        <x:v>0.19141467019769662</x:v>
      </x:c>
      <x:c r="F224" s="13" t="n">
        <x:f>(E224-D224)*100</x:f>
        <x:v>0.2903490412203058</x:v>
      </x:c>
      <x:c r="G224" s="12" t="n">
        <x:f>Nguon!H225/Nguon!D225</x:f>
        <x:v>0.02557110828334242</x:v>
      </x:c>
      <x:c r="H224" s="12" t="n">
        <x:f>Nguon!I225/Nguon!E225</x:f>
        <x:v>0.023834452177126316</x:v>
      </x:c>
      <x:c r="I224" s="13" t="n">
        <x:f>(H224-G224)*100</x:f>
        <x:v>-0.1736656106216105</x:v>
      </x:c>
      <x:c r="J224" s="11" t="n">
        <x:f>Nguon!G225-Nguon!I225</x:f>
        <x:v>2721</x:v>
      </x:c>
      <x:c r="K224" s="12" t="n">
        <x:f>Nguon!N225/Nguon!K225</x:f>
        <x:v>0.027112067880828792</x:v>
      </x:c>
      <x:c r="L224" s="12" t="n">
        <x:f>Nguon!O225/Nguon!K225</x:f>
        <x:v>0.026500792690320026</x:v>
      </x:c>
      <x:c r="M224" s="2"/>
      <x:c r="N224" s="2"/>
      <x:c r="O224" s="2"/>
      <x:c r="P224" s="2"/>
      <x:c r="Q224" s="2"/>
      <x:c r="R224" s="2"/>
      <x:c r="S224" s="2"/>
      <x:c r="T224" s="2"/>
      <x:c r="U224" s="2"/>
    </x:row>
    <x:row r="225" ht="26" customHeight="1">
      <x:c r="A225" s="2" t="str">
        <x:v>E09000012</x:v>
      </x:c>
      <x:c r="B225" s="2" t="str">
        <x:v>Tiểu học</x:v>
      </x:c>
      <x:c r="C225" s="2" t="str">
        <x:v>Hackney</x:v>
      </x:c>
      <x:c r="D225" s="12" t="n">
        <x:f>Nguon!F226/Nguon!D226</x:f>
        <x:v>0.13969699125115584</x:v>
      </x:c>
      <x:c r="E225" s="12" t="n">
        <x:f>Nguon!G226/Nguon!E226</x:f>
        <x:v>0.14933058702368693</x:v>
      </x:c>
      <x:c r="F225" s="13" t="n">
        <x:f>(E225-D225)*100</x:f>
        <x:v>0.963359577253109</x:v>
      </x:c>
      <x:c r="G225" s="12" t="n">
        <x:f>Nguon!H226/Nguon!D226</x:f>
        <x:v>0.008037556013941247</x:v>
      </x:c>
      <x:c r="H225" s="12" t="n">
        <x:f>Nguon!I226/Nguon!E226</x:f>
        <x:v>0.009415918787700456</x:v>
      </x:c>
      <x:c r="I225" s="13" t="n">
        <x:f>(H225-G225)*100</x:f>
        <x:v>0.13783627737592088</x:v>
      </x:c>
      <x:c r="J225" s="11" t="n">
        <x:f>Nguon!G226-Nguon!I226</x:f>
        <x:v>1902</x:v>
      </x:c>
      <x:c r="K225" s="12" t="n">
        <x:f>Nguon!N226/Nguon!K226</x:f>
        <x:v>0.029029653129178573</x:v>
      </x:c>
      <x:c r="L225" s="12" t="n">
        <x:f>Nguon!O226/Nguon!K226</x:f>
        <x:v>0.00803387430848693</x:v>
      </x:c>
      <x:c r="M225" s="2"/>
      <x:c r="N225" s="2"/>
      <x:c r="O225" s="2"/>
      <x:c r="P225" s="2"/>
      <x:c r="Q225" s="2"/>
      <x:c r="R225" s="2"/>
      <x:c r="S225" s="2"/>
      <x:c r="T225" s="2"/>
      <x:c r="U225" s="2"/>
    </x:row>
    <x:row r="226" ht="26" customHeight="1">
      <x:c r="A226" s="2" t="str">
        <x:v>E09000012</x:v>
      </x:c>
      <x:c r="B226" s="2" t="str">
        <x:v>Trung học</x:v>
      </x:c>
      <x:c r="C226" s="2" t="str">
        <x:v>Hackney</x:v>
      </x:c>
      <x:c r="D226" s="12" t="n">
        <x:f>Nguon!F227/Nguon!D227</x:f>
        <x:v>0.18546814044213264</x:v>
      </x:c>
      <x:c r="E226" s="12" t="n">
        <x:f>Nguon!G227/Nguon!E227</x:f>
        <x:v>0.19666694303954896</x:v>
      </x:c>
      <x:c r="F226" s="13" t="n">
        <x:f>(E226-D226)*100</x:f>
        <x:v>1.119880259741632</x:v>
      </x:c>
      <x:c r="G226" s="12" t="n">
        <x:f>Nguon!H227/Nguon!D227</x:f>
        <x:v>0.022269180754226268</x:v>
      </x:c>
      <x:c r="H226" s="12" t="n">
        <x:f>Nguon!I227/Nguon!E227</x:f>
        <x:v>0.024376088218224026</x:v>
      </x:c>
      <x:c r="I226" s="13" t="n">
        <x:f>(H226-G226)*100</x:f>
        <x:v>0.21069074639977586</x:v>
      </x:c>
      <x:c r="J226" s="11" t="n">
        <x:f>Nguon!G227-Nguon!I227</x:f>
        <x:v>2078</x:v>
      </x:c>
      <x:c r="K226" s="12" t="n">
        <x:f>Nguon!N227/Nguon!K227</x:f>
        <x:v>0.029528019548463052</x:v>
      </x:c>
      <x:c r="L226" s="12" t="n">
        <x:f>Nguon!O227/Nguon!K227</x:f>
        <x:v>0.02455254412262033</x:v>
      </x:c>
      <x:c r="M226" s="2"/>
      <x:c r="N226" s="2"/>
      <x:c r="O226" s="2"/>
      <x:c r="P226" s="2"/>
      <x:c r="Q226" s="2"/>
      <x:c r="R226" s="2"/>
      <x:c r="S226" s="2"/>
      <x:c r="T226" s="2"/>
      <x:c r="U226" s="2"/>
    </x:row>
    <x:row r="227" ht="26" customHeight="1">
      <x:c r="A227" s="2" t="str">
        <x:v>E09000013</x:v>
      </x:c>
      <x:c r="B227" s="2" t="str">
        <x:v>Tiểu học</x:v>
      </x:c>
      <x:c r="C227" s="2" t="str">
        <x:v>Hammersmith and Fulham</x:v>
      </x:c>
      <x:c r="D227" s="12" t="n">
        <x:f>Nguon!F228/Nguon!D228</x:f>
        <x:v>0.15715254237288134</x:v>
      </x:c>
      <x:c r="E227" s="12" t="n">
        <x:f>Nguon!G228/Nguon!E228</x:f>
        <x:v>0.147349629222741</x:v>
      </x:c>
      <x:c r="F227" s="13" t="n">
        <x:f>(E227-D227)*100</x:f>
        <x:v>-0.9802913150140341</x:v>
      </x:c>
      <x:c r="G227" s="12" t="n">
        <x:f>Nguon!H228/Nguon!D228</x:f>
        <x:v>0.007186440677966101</x:v>
      </x:c>
      <x:c r="H227" s="12" t="n">
        <x:f>Nguon!I228/Nguon!E228</x:f>
        <x:v>0.009338093930238945</x:v>
      </x:c>
      <x:c r="I227" s="13" t="n">
        <x:f>(H227-G227)*100</x:f>
        <x:v>0.2151653252272844</x:v>
      </x:c>
      <x:c r="J227" s="11" t="n">
        <x:f>Nguon!G228-Nguon!I228</x:f>
        <x:v>1005</x:v>
      </x:c>
      <x:c r="K227" s="12" t="n">
        <x:f>Nguon!N228/Nguon!K228</x:f>
        <x:v>0.028281059947440786</x:v>
      </x:c>
      <x:c r="L227" s="12" t="n">
        <x:f>Nguon!O228/Nguon!K228</x:f>
        <x:v>0.007735185627602806</x:v>
      </x:c>
      <x:c r="M227" s="2"/>
      <x:c r="N227" s="2"/>
      <x:c r="O227" s="2"/>
      <x:c r="P227" s="2"/>
      <x:c r="Q227" s="2"/>
      <x:c r="R227" s="2"/>
      <x:c r="S227" s="2"/>
      <x:c r="T227" s="2"/>
      <x:c r="U227" s="2"/>
    </x:row>
    <x:row r="228" ht="26" customHeight="1">
      <x:c r="A228" s="2" t="str">
        <x:v>E09000013</x:v>
      </x:c>
      <x:c r="B228" s="2" t="str">
        <x:v>Trung học</x:v>
      </x:c>
      <x:c r="C228" s="2" t="str">
        <x:v>Hammersmith and Fulham</x:v>
      </x:c>
      <x:c r="D228" s="12" t="n">
        <x:f>Nguon!F229/Nguon!D229</x:f>
        <x:v>0.16492941021242907</x:v>
      </x:c>
      <x:c r="E228" s="12" t="n">
        <x:f>Nguon!G229/Nguon!E229</x:f>
        <x:v>0.17511397157414857</x:v>
      </x:c>
      <x:c r="F228" s="13" t="n">
        <x:f>(E228-D228)*100</x:f>
        <x:v>1.0184561361719497</x:v>
      </x:c>
      <x:c r="G228" s="12" t="n">
        <x:f>Nguon!H229/Nguon!D229</x:f>
        <x:v>0.01741654571843251</x:v>
      </x:c>
      <x:c r="H228" s="12" t="n">
        <x:f>Nguon!I229/Nguon!E229</x:f>
        <x:v>0.015419683561276482</x:v>
      </x:c>
      <x:c r="I228" s="13" t="n">
        <x:f>(H228-G228)*100</x:f>
        <x:v>-0.1996862157156028</x:v>
      </x:c>
      <x:c r="J228" s="11" t="n">
        <x:f>Nguon!G229-Nguon!I229</x:f>
        <x:v>1191</x:v>
      </x:c>
      <x:c r="K228" s="12" t="n">
        <x:f>Nguon!N229/Nguon!K229</x:f>
        <x:v>0.030272163367009653</x:v>
      </x:c>
      <x:c r="L228" s="12" t="n">
        <x:f>Nguon!O229/Nguon!K229</x:f>
        <x:v>0.01551653819073147</x:v>
      </x:c>
      <x:c r="M228" s="2"/>
      <x:c r="N228" s="2"/>
      <x:c r="O228" s="2"/>
      <x:c r="P228" s="2"/>
      <x:c r="Q228" s="2"/>
      <x:c r="R228" s="2"/>
      <x:c r="S228" s="2"/>
      <x:c r="T228" s="2"/>
      <x:c r="U228" s="2"/>
    </x:row>
    <x:row r="229" ht="26" customHeight="1">
      <x:c r="A229" s="2" t="str">
        <x:v>E09000014</x:v>
      </x:c>
      <x:c r="B229" s="2" t="str">
        <x:v>Tiểu học</x:v>
      </x:c>
      <x:c r="C229" s="2" t="str">
        <x:v>Haringey</x:v>
      </x:c>
      <x:c r="D229" s="12" t="n">
        <x:f>Nguon!F230/Nguon!D230</x:f>
        <x:v>0.15020388290426634</x:v>
      </x:c>
      <x:c r="E229" s="12" t="n">
        <x:f>Nguon!G230/Nguon!E230</x:f>
        <x:v>0.14905402041324373</x:v>
      </x:c>
      <x:c r="F229" s="13" t="n">
        <x:f>(E229-D229)*100</x:f>
        <x:v>-0.1149862491022613</x:v>
      </x:c>
      <x:c r="G229" s="12" t="n">
        <x:f>Nguon!H230/Nguon!D230</x:f>
        <x:v>0.011685229140040169</x:v>
      </x:c>
      <x:c r="H229" s="12" t="n">
        <x:f>Nguon!I230/Nguon!E230</x:f>
        <x:v>0.01194921583271098</x:v>
      </x:c>
      <x:c r="I229" s="13" t="n">
        <x:f>(H229-G229)*100</x:f>
        <x:v>0.026398669267081037</x:v>
      </x:c>
      <x:c r="J229" s="11" t="n">
        <x:f>Nguon!G230-Nguon!I230</x:f>
        <x:v>2203</x:v>
      </x:c>
      <x:c r="K229" s="12" t="n">
        <x:f>Nguon!N230/Nguon!K230</x:f>
        <x:v>0.026305193993607943</x:v>
      </x:c>
      <x:c r="L229" s="12" t="n">
        <x:f>Nguon!O230/Nguon!K230</x:f>
        <x:v>0.00999339368293249</x:v>
      </x:c>
      <x:c r="M229" s="2"/>
      <x:c r="N229" s="2"/>
      <x:c r="O229" s="2"/>
      <x:c r="P229" s="2"/>
      <x:c r="Q229" s="2"/>
      <x:c r="R229" s="2"/>
      <x:c r="S229" s="2"/>
      <x:c r="T229" s="2"/>
      <x:c r="U229" s="2"/>
    </x:row>
    <x:row r="230" ht="26" customHeight="1">
      <x:c r="A230" s="2" t="str">
        <x:v>E09000014</x:v>
      </x:c>
      <x:c r="B230" s="2" t="str">
        <x:v>Trung học</x:v>
      </x:c>
      <x:c r="C230" s="2" t="str">
        <x:v>Haringey</x:v>
      </x:c>
      <x:c r="D230" s="12" t="n">
        <x:f>Nguon!F231/Nguon!D231</x:f>
        <x:v>0.1901835893593106</x:v>
      </x:c>
      <x:c r="E230" s="12" t="n">
        <x:f>Nguon!G231/Nguon!E231</x:f>
        <x:v>0.18990366088631985</x:v>
      </x:c>
      <x:c r="F230" s="13" t="n">
        <x:f>(E230-D230)*100</x:f>
        <x:v>-0.027992847299074253</x:v>
      </x:c>
      <x:c r="G230" s="12" t="n">
        <x:f>Nguon!H231/Nguon!D231</x:f>
        <x:v>0.022330460846759086</x:v>
      </x:c>
      <x:c r="H230" s="12" t="n">
        <x:f>Nguon!I231/Nguon!E231</x:f>
        <x:v>0.018805394990366087</x:v>
      </x:c>
      <x:c r="I230" s="13" t="n">
        <x:f>(H230-G230)*100</x:f>
        <x:v>-0.35250658563929993</x:v>
      </x:c>
      <x:c r="J230" s="11" t="n">
        <x:f>Nguon!G231-Nguon!I231</x:f>
        <x:v>2220</x:v>
      </x:c>
      <x:c r="K230" s="12" t="n">
        <x:f>Nguon!N231/Nguon!K231</x:f>
        <x:v>0.033728746196000615</x:v>
      </x:c>
      <x:c r="L230" s="12" t="n">
        <x:f>Nguon!O231/Nguon!K231</x:f>
        <x:v>0.017444002518109795</x:v>
      </x:c>
      <x:c r="M230" s="2"/>
      <x:c r="N230" s="2"/>
      <x:c r="O230" s="2"/>
      <x:c r="P230" s="2"/>
      <x:c r="Q230" s="2"/>
      <x:c r="R230" s="2"/>
      <x:c r="S230" s="2"/>
      <x:c r="T230" s="2"/>
      <x:c r="U230" s="2"/>
    </x:row>
    <x:row r="231" ht="26" customHeight="1">
      <x:c r="A231" s="2" t="str">
        <x:v>E09000015</x:v>
      </x:c>
      <x:c r="B231" s="2" t="str">
        <x:v>Tiểu học</x:v>
      </x:c>
      <x:c r="C231" s="2" t="str">
        <x:v>Harrow</x:v>
      </x:c>
      <x:c r="D231" s="12" t="n">
        <x:f>Nguon!F232/Nguon!D232</x:f>
        <x:v>0.12803329189861104</x:v>
      </x:c>
      <x:c r="E231" s="12" t="n">
        <x:f>Nguon!G232/Nguon!E232</x:f>
        <x:v>0.12616643929058663</x:v>
      </x:c>
      <x:c r="F231" s="13" t="n">
        <x:f>(E231-D231)*100</x:f>
        <x:v>-0.18668526080244108</x:v>
      </x:c>
      <x:c r="G231" s="12" t="n">
        <x:f>Nguon!H232/Nguon!D232</x:f>
        <x:v>0.008322974652759012</x:v>
      </x:c>
      <x:c r="H231" s="12" t="n">
        <x:f>Nguon!I232/Nguon!E232</x:f>
        <x:v>0.00971350613915416</x:v>
      </x:c>
      <x:c r="I231" s="13" t="n">
        <x:f>(H231-G231)*100</x:f>
        <x:v>0.13905314863951485</x:v>
      </x:c>
      <x:c r="J231" s="11" t="n">
        <x:f>Nguon!G232-Nguon!I232</x:f>
        <x:v>2134</x:v>
      </x:c>
      <x:c r="K231" s="12" t="n">
        <x:f>Nguon!N232/Nguon!K232</x:f>
        <x:v>0.027755434220611556</x:v>
      </x:c>
      <x:c r="L231" s="12" t="n">
        <x:f>Nguon!O232/Nguon!K232</x:f>
        <x:v>0.005645969121423265</x:v>
      </x:c>
      <x:c r="M231" s="2"/>
      <x:c r="N231" s="2"/>
      <x:c r="O231" s="2"/>
      <x:c r="P231" s="2"/>
      <x:c r="Q231" s="2"/>
      <x:c r="R231" s="2"/>
      <x:c r="S231" s="2"/>
      <x:c r="T231" s="2"/>
      <x:c r="U231" s="2"/>
    </x:row>
    <x:row r="232" ht="26" customHeight="1">
      <x:c r="A232" s="2" t="str">
        <x:v>E09000015</x:v>
      </x:c>
      <x:c r="B232" s="2" t="str">
        <x:v>Trung học</x:v>
      </x:c>
      <x:c r="C232" s="2" t="str">
        <x:v>Harrow</x:v>
      </x:c>
      <x:c r="D232" s="12" t="n">
        <x:f>Nguon!F233/Nguon!D233</x:f>
        <x:v>0.16639581714124213</x:v>
      </x:c>
      <x:c r="E232" s="12" t="n">
        <x:f>Nguon!G233/Nguon!E233</x:f>
        <x:v>0.17378180250107805</x:v>
      </x:c>
      <x:c r="F232" s="13" t="n">
        <x:f>(E232-D232)*100</x:f>
        <x:v>0.7385985359835923</x:v>
      </x:c>
      <x:c r="G232" s="12" t="n">
        <x:f>Nguon!H233/Nguon!D233</x:f>
        <x:v>0.015685720341976964</x:v>
      </x:c>
      <x:c r="H232" s="12" t="n">
        <x:f>Nguon!I233/Nguon!E233</x:f>
        <x:v>0.019620526088831393</x:v>
      </x:c>
      <x:c r="I232" s="13" t="n">
        <x:f>(H232-G232)*100</x:f>
        <x:v>0.39348057468544284</x:v>
      </x:c>
      <x:c r="J232" s="11" t="n">
        <x:f>Nguon!G233-Nguon!I233</x:f>
        <x:v>2145</x:v>
      </x:c>
      <x:c r="K232" s="12" t="n">
        <x:f>Nguon!N233/Nguon!K233</x:f>
        <x:v>0.03392997591208156</x:v>
      </x:c>
      <x:c r="L232" s="12" t="n">
        <x:f>Nguon!O233/Nguon!K233</x:f>
        <x:v>0.012049432502653173</x:v>
      </x:c>
      <x:c r="M232" s="2"/>
      <x:c r="N232" s="2"/>
      <x:c r="O232" s="2"/>
      <x:c r="P232" s="2"/>
      <x:c r="Q232" s="2"/>
      <x:c r="R232" s="2"/>
      <x:c r="S232" s="2"/>
      <x:c r="T232" s="2"/>
      <x:c r="U232" s="2"/>
    </x:row>
    <x:row r="233" ht="26" customHeight="1">
      <x:c r="A233" s="2" t="str">
        <x:v>E09000016</x:v>
      </x:c>
      <x:c r="B233" s="2" t="str">
        <x:v>Tiểu học</x:v>
      </x:c>
      <x:c r="C233" s="2" t="str">
        <x:v>Havering</x:v>
      </x:c>
      <x:c r="D233" s="12" t="n">
        <x:f>Nguon!F234/Nguon!D234</x:f>
        <x:v>0.12649668967460206</x:v>
      </x:c>
      <x:c r="E233" s="12" t="n">
        <x:f>Nguon!G234/Nguon!E234</x:f>
        <x:v>0.1397975994351612</x:v>
      </x:c>
      <x:c r="F233" s="13" t="n">
        <x:f>(E233-D233)*100</x:f>
        <x:v>1.3300909760559143</x:v>
      </x:c>
      <x:c r="G233" s="12" t="n">
        <x:f>Nguon!H234/Nguon!D234</x:f>
        <x:v>0.006855425646804714</x:v>
      </x:c>
      <x:c r="H233" s="12" t="n">
        <x:f>Nguon!I234/Nguon!E234</x:f>
        <x:v>0.008096022593551425</x:v>
      </x:c>
      <x:c r="I233" s="13" t="n">
        <x:f>(H233-G233)*100</x:f>
        <x:v>0.12405969467467107</x:v>
      </x:c>
      <x:c r="J233" s="11" t="n">
        <x:f>Nguon!G234-Nguon!I234</x:f>
        <x:v>2798</x:v>
      </x:c>
      <x:c r="K233" s="12" t="n">
        <x:f>Nguon!N234/Nguon!K234</x:f>
        <x:v>0.03204699858032423</x:v>
      </x:c>
      <x:c r="L233" s="12" t="n">
        <x:f>Nguon!O234/Nguon!K234</x:f>
        <x:v>0.004766848666876265</x:v>
      </x:c>
      <x:c r="M233" s="2"/>
      <x:c r="N233" s="2"/>
      <x:c r="O233" s="2"/>
      <x:c r="P233" s="2"/>
      <x:c r="Q233" s="2"/>
      <x:c r="R233" s="2"/>
      <x:c r="S233" s="2"/>
      <x:c r="T233" s="2"/>
      <x:c r="U233" s="2"/>
    </x:row>
    <x:row r="234" ht="26" customHeight="1">
      <x:c r="A234" s="2" t="str">
        <x:v>E09000016</x:v>
      </x:c>
      <x:c r="B234" s="2" t="str">
        <x:v>Trung học</x:v>
      </x:c>
      <x:c r="C234" s="2" t="str">
        <x:v>Havering</x:v>
      </x:c>
      <x:c r="D234" s="12" t="n">
        <x:f>Nguon!F235/Nguon!D235</x:f>
        <x:v>0.17084649204285096</x:v>
      </x:c>
      <x:c r="E234" s="12" t="n">
        <x:f>Nguon!G235/Nguon!E235</x:f>
        <x:v>0.18056155507559396</x:v>
      </x:c>
      <x:c r="F234" s="13" t="n">
        <x:f>(E234-D234)*100</x:f>
        <x:v>0.9715063032742999</x:v>
      </x:c>
      <x:c r="G234" s="12" t="n">
        <x:f>Nguon!H235/Nguon!D235</x:f>
        <x:v>0.02278778871756765</x:v>
      </x:c>
      <x:c r="H234" s="12" t="n">
        <x:f>Nguon!I235/Nguon!E235</x:f>
        <x:v>0.019932119716136995</x:v>
      </x:c>
      <x:c r="I234" s="13" t="n">
        <x:f>(H234-G234)*100</x:f>
        <x:v>-0.28556690014306557</x:v>
      </x:c>
      <x:c r="J234" s="11" t="n">
        <x:f>Nguon!G235-Nguon!I235</x:f>
        <x:v>2603</x:v>
      </x:c>
      <x:c r="K234" s="12" t="n">
        <x:f>Nguon!N235/Nguon!K235</x:f>
        <x:v>0.03574967586905974</x:v>
      </x:c>
      <x:c r="L234" s="12" t="n">
        <x:f>Nguon!O235/Nguon!K235</x:f>
        <x:v>0.015164007299824417</x:v>
      </x:c>
      <x:c r="M234" s="2"/>
      <x:c r="N234" s="2"/>
      <x:c r="O234" s="2"/>
      <x:c r="P234" s="2"/>
      <x:c r="Q234" s="2"/>
      <x:c r="R234" s="2"/>
      <x:c r="S234" s="2"/>
      <x:c r="T234" s="2"/>
      <x:c r="U234" s="2"/>
    </x:row>
    <x:row r="235" ht="26" customHeight="1">
      <x:c r="A235" s="2" t="str">
        <x:v>E09000017</x:v>
      </x:c>
      <x:c r="B235" s="2" t="str">
        <x:v>Tiểu học</x:v>
      </x:c>
      <x:c r="C235" s="2" t="str">
        <x:v>Hillingdon</x:v>
      </x:c>
      <x:c r="D235" s="12" t="n">
        <x:f>Nguon!F236/Nguon!D236</x:f>
        <x:v>0.1656209712075634</x:v>
      </x:c>
      <x:c r="E235" s="12" t="n">
        <x:f>Nguon!G236/Nguon!E236</x:f>
        <x:v>0.15801928915877836</x:v>
      </x:c>
      <x:c r="F235" s="13" t="n">
        <x:f>(E235-D235)*100</x:f>
        <x:v>-0.760168204878503</x:v>
      </x:c>
      <x:c r="G235" s="12" t="n">
        <x:f>Nguon!H236/Nguon!D236</x:f>
        <x:v>0.010528577567683713</x:v>
      </x:c>
      <x:c r="H235" s="12" t="n">
        <x:f>Nguon!I236/Nguon!E236</x:f>
        <x:v>0.013931059117699589</x:v>
      </x:c>
      <x:c r="I235" s="13" t="n">
        <x:f>(H235-G235)*100</x:f>
        <x:v>0.34024815500158756</x:v>
      </x:c>
      <x:c r="J235" s="11" t="n">
        <x:f>Nguon!G236-Nguon!I236</x:f>
        <x:v>3227</x:v>
      </x:c>
      <x:c r="K235" s="12" t="n">
        <x:f>Nguon!N236/Nguon!K236</x:f>
        <x:v>0.031986830022377656</x:v>
      </x:c>
      <x:c r="L235" s="12" t="n">
        <x:f>Nguon!O236/Nguon!K236</x:f>
        <x:v>0.008598620699512135</x:v>
      </x:c>
      <x:c r="M235" s="2"/>
      <x:c r="N235" s="2"/>
      <x:c r="O235" s="2"/>
      <x:c r="P235" s="2"/>
      <x:c r="Q235" s="2"/>
      <x:c r="R235" s="2"/>
      <x:c r="S235" s="2"/>
      <x:c r="T235" s="2"/>
      <x:c r="U235" s="2"/>
    </x:row>
    <x:row r="236" ht="26" customHeight="1">
      <x:c r="A236" s="2" t="str">
        <x:v>E09000017</x:v>
      </x:c>
      <x:c r="B236" s="2" t="str">
        <x:v>Trung học</x:v>
      </x:c>
      <x:c r="C236" s="2" t="str">
        <x:v>Hillingdon</x:v>
      </x:c>
      <x:c r="D236" s="12" t="n">
        <x:f>Nguon!F237/Nguon!D237</x:f>
        <x:v>0.19243254749614178</x:v>
      </x:c>
      <x:c r="E236" s="12" t="n">
        <x:f>Nguon!G237/Nguon!E237</x:f>
        <x:v>0.20467710791675606</x:v>
      </x:c>
      <x:c r="F236" s="13" t="n">
        <x:f>(E236-D236)*100</x:f>
        <x:v>1.224456042061428</x:v>
      </x:c>
      <x:c r="G236" s="12" t="n">
        <x:f>Nguon!H237/Nguon!D237</x:f>
        <x:v>0.01984992815709648</x:v>
      </x:c>
      <x:c r="H236" s="12" t="n">
        <x:f>Nguon!I237/Nguon!E237</x:f>
        <x:v>0.02354644925981549</x:v>
      </x:c>
      <x:c r="I236" s="13" t="n">
        <x:f>(H236-G236)*100</x:f>
        <x:v>0.3696521102719008</x:v>
      </x:c>
      <x:c r="J236" s="11" t="n">
        <x:f>Nguon!G237-Nguon!I237</x:f>
        <x:v>3377</x:v>
      </x:c>
      <x:c r="K236" s="12" t="n">
        <x:f>Nguon!N237/Nguon!K237</x:f>
        <x:v>0.038920518897562796</x:v>
      </x:c>
      <x:c r="L236" s="12" t="n">
        <x:f>Nguon!O237/Nguon!K237</x:f>
        <x:v>0.017542448378785297</x:v>
      </x:c>
      <x:c r="M236" s="2"/>
      <x:c r="N236" s="2"/>
      <x:c r="O236" s="2"/>
      <x:c r="P236" s="2"/>
      <x:c r="Q236" s="2"/>
      <x:c r="R236" s="2"/>
      <x:c r="S236" s="2"/>
      <x:c r="T236" s="2"/>
      <x:c r="U236" s="2"/>
    </x:row>
    <x:row r="237" ht="26" customHeight="1">
      <x:c r="A237" s="2" t="str">
        <x:v>E09000018</x:v>
      </x:c>
      <x:c r="B237" s="2" t="str">
        <x:v>Tiểu học</x:v>
      </x:c>
      <x:c r="C237" s="2" t="str">
        <x:v>Hounslow</x:v>
      </x:c>
      <x:c r="D237" s="12" t="n">
        <x:f>Nguon!F238/Nguon!D238</x:f>
        <x:v>0.15959552725910867</x:v>
      </x:c>
      <x:c r="E237" s="12" t="n">
        <x:f>Nguon!G238/Nguon!E238</x:f>
        <x:v>0.1588371835967724</x:v>
      </x:c>
      <x:c r="F237" s="13" t="n">
        <x:f>(E237-D237)*100</x:f>
        <x:v>-0.07583436623362638</x:v>
      </x:c>
      <x:c r="G237" s="12" t="n">
        <x:f>Nguon!H238/Nguon!D238</x:f>
        <x:v>0.0074367342571291</x:v>
      </x:c>
      <x:c r="H237" s="12" t="n">
        <x:f>Nguon!I238/Nguon!E238</x:f>
        <x:v>0.008511108654802696</x:v>
      </x:c>
      <x:c r="I237" s="13" t="n">
        <x:f>(H237-G237)*100</x:f>
        <x:v>0.10743743976735967</x:v>
      </x:c>
      <x:c r="J237" s="11" t="n">
        <x:f>Nguon!G238-Nguon!I238</x:f>
        <x:v>2720</x:v>
      </x:c>
      <x:c r="K237" s="12" t="n">
        <x:f>Nguon!N238/Nguon!K238</x:f>
        <x:v>0.029678260037936145</x:v>
      </x:c>
      <x:c r="L237" s="12" t="n">
        <x:f>Nguon!O238/Nguon!K238</x:f>
        <x:v>0.008003650158598594</x:v>
      </x:c>
      <x:c r="M237" s="2"/>
      <x:c r="N237" s="2"/>
      <x:c r="O237" s="2"/>
      <x:c r="P237" s="2"/>
      <x:c r="Q237" s="2"/>
      <x:c r="R237" s="2"/>
      <x:c r="S237" s="2"/>
      <x:c r="T237" s="2"/>
      <x:c r="U237" s="2"/>
    </x:row>
    <x:row r="238" ht="26" customHeight="1">
      <x:c r="A238" s="2" t="str">
        <x:v>E09000018</x:v>
      </x:c>
      <x:c r="B238" s="2" t="str">
        <x:v>Trung học</x:v>
      </x:c>
      <x:c r="C238" s="2" t="str">
        <x:v>Hounslow</x:v>
      </x:c>
      <x:c r="D238" s="12" t="n">
        <x:f>Nguon!F239/Nguon!D239</x:f>
        <x:v>0.18381344307270234</x:v>
      </x:c>
      <x:c r="E238" s="12" t="n">
        <x:f>Nguon!G239/Nguon!E239</x:f>
        <x:v>0.17785312033099643</x:v>
      </x:c>
      <x:c r="F238" s="13" t="n">
        <x:f>(E238-D238)*100</x:f>
        <x:v>-0.5960322741705909</x:v>
      </x:c>
      <x:c r="G238" s="12" t="n">
        <x:f>Nguon!H239/Nguon!D239</x:f>
        <x:v>0.016918152720621856</x:v>
      </x:c>
      <x:c r="H238" s="12" t="n">
        <x:f>Nguon!I239/Nguon!E239</x:f>
        <x:v>0.019193196184346627</x:v>
      </x:c>
      <x:c r="I238" s="13" t="n">
        <x:f>(H238-G238)*100</x:f>
        <x:v>0.22750434637247713</x:v>
      </x:c>
      <x:c r="J238" s="11" t="n">
        <x:f>Nguon!G239-Nguon!I239</x:f>
        <x:v>2761</x:v>
      </x:c>
      <x:c r="K238" s="12" t="n">
        <x:f>Nguon!N239/Nguon!K239</x:f>
        <x:v>0.030008872437248972</x:v>
      </x:c>
      <x:c r="L238" s="12" t="n">
        <x:f>Nguon!O239/Nguon!K239</x:f>
        <x:v>0.018233162100209106</x:v>
      </x:c>
      <x:c r="M238" s="2"/>
      <x:c r="N238" s="2"/>
      <x:c r="O238" s="2"/>
      <x:c r="P238" s="2"/>
      <x:c r="Q238" s="2"/>
      <x:c r="R238" s="2"/>
      <x:c r="S238" s="2"/>
      <x:c r="T238" s="2"/>
      <x:c r="U238" s="2"/>
    </x:row>
    <x:row r="239" ht="26" customHeight="1">
      <x:c r="A239" s="2" t="str">
        <x:v>E09000019</x:v>
      </x:c>
      <x:c r="B239" s="2" t="str">
        <x:v>Tiểu học</x:v>
      </x:c>
      <x:c r="C239" s="2" t="str">
        <x:v>Islington</x:v>
      </x:c>
      <x:c r="D239" s="12" t="n">
        <x:f>Nguon!F240/Nguon!D240</x:f>
        <x:v>0.17525168605219432</x:v>
      </x:c>
      <x:c r="E239" s="12" t="n">
        <x:f>Nguon!G240/Nguon!E240</x:f>
        <x:v>0.17986482396852618</x:v>
      </x:c>
      <x:c r="F239" s="13" t="n">
        <x:f>(E239-D239)*100</x:f>
        <x:v>0.4613137916331861</x:v>
      </x:c>
      <x:c r="G239" s="12" t="n">
        <x:f>Nguon!H240/Nguon!D240</x:f>
        <x:v>0.009383246994428697</x:v>
      </x:c>
      <x:c r="H239" s="12" t="n">
        <x:f>Nguon!I240/Nguon!E240</x:f>
        <x:v>0.01069302935539191</x:v>
      </x:c>
      <x:c r="I239" s="13" t="n">
        <x:f>(H239-G239)*100</x:f>
        <x:v>0.1309782360963213</x:v>
      </x:c>
      <x:c r="J239" s="11" t="n">
        <x:f>Nguon!G240-Nguon!I240</x:f>
        <x:v>1677</x:v>
      </x:c>
      <x:c r="K239" s="12" t="n">
        <x:f>Nguon!N240/Nguon!K240</x:f>
        <x:v>0.031519871754356735</x:v>
      </x:c>
      <x:c r="L239" s="12" t="n">
        <x:f>Nguon!O240/Nguon!K240</x:f>
        <x:v>0.012831746542481369</x:v>
      </x:c>
      <x:c r="M239" s="2"/>
      <x:c r="N239" s="2"/>
      <x:c r="O239" s="2"/>
      <x:c r="P239" s="2"/>
      <x:c r="Q239" s="2"/>
      <x:c r="R239" s="2"/>
      <x:c r="S239" s="2"/>
      <x:c r="T239" s="2"/>
      <x:c r="U239" s="2"/>
    </x:row>
    <x:row r="240" ht="26" customHeight="1">
      <x:c r="A240" s="2" t="str">
        <x:v>E09000019</x:v>
      </x:c>
      <x:c r="B240" s="2" t="str">
        <x:v>Trung học</x:v>
      </x:c>
      <x:c r="C240" s="2" t="str">
        <x:v>Islington</x:v>
      </x:c>
      <x:c r="D240" s="12" t="n">
        <x:f>Nguon!F241/Nguon!D241</x:f>
        <x:v>0.22491627595445413</x:v>
      </x:c>
      <x:c r="E240" s="12" t="n">
        <x:f>Nguon!G241/Nguon!E241</x:f>
        <x:v>0.21183153228041007</x:v>
      </x:c>
      <x:c r="F240" s="13" t="n">
        <x:f>(E240-D240)*100</x:f>
        <x:v>-1.3084743674044053</x:v>
      </x:c>
      <x:c r="G240" s="12" t="n">
        <x:f>Nguon!H241/Nguon!D241</x:f>
        <x:v>0.035900870730073677</x:v>
      </x:c>
      <x:c r="H240" s="12" t="n">
        <x:f>Nguon!I241/Nguon!E241</x:f>
        <x:v>0.032973122748683845</x:v>
      </x:c>
      <x:c r="I240" s="13" t="n">
        <x:f>(H240-G240)*100</x:f>
        <x:v>-0.2927747981389832</x:v>
      </x:c>
      <x:c r="J240" s="11" t="n">
        <x:f>Nguon!G241-Nguon!I241</x:f>
        <x:v>1291</x:v>
      </x:c>
      <x:c r="K240" s="12" t="n">
        <x:f>Nguon!N241/Nguon!K241</x:f>
        <x:v>0.02304784055289136</x:v>
      </x:c>
      <x:c r="L240" s="12" t="n">
        <x:f>Nguon!O241/Nguon!K241</x:f>
        <x:v>0.03932847806794541</x:v>
      </x:c>
      <x:c r="M240" s="2"/>
      <x:c r="N240" s="2"/>
      <x:c r="O240" s="2"/>
      <x:c r="P240" s="2"/>
      <x:c r="Q240" s="2"/>
      <x:c r="R240" s="2"/>
      <x:c r="S240" s="2"/>
      <x:c r="T240" s="2"/>
      <x:c r="U240" s="2"/>
    </x:row>
    <x:row r="241" ht="26" customHeight="1">
      <x:c r="A241" s="2" t="str">
        <x:v>E09000020</x:v>
      </x:c>
      <x:c r="B241" s="2" t="str">
        <x:v>Tiểu học</x:v>
      </x:c>
      <x:c r="C241" s="2" t="str">
        <x:v>Kensington and Chelsea</x:v>
      </x:c>
      <x:c r="D241" s="12" t="n">
        <x:f>Nguon!F242/Nguon!D242</x:f>
        <x:v>0.17060998151571163</x:v>
      </x:c>
      <x:c r="E241" s="12" t="n">
        <x:f>Nguon!G242/Nguon!E242</x:f>
        <x:v>0.17317905918057663</x:v>
      </x:c>
      <x:c r="F241" s="13" t="n">
        <x:f>(E241-D241)*100</x:f>
        <x:v>0.25690776648649993</x:v>
      </x:c>
      <x:c r="G241" s="12" t="n">
        <x:f>Nguon!H242/Nguon!D242</x:f>
        <x:v>0.012384473197781885</x:v>
      </x:c>
      <x:c r="H241" s="12" t="n">
        <x:f>Nguon!I242/Nguon!E242</x:f>
        <x:v>0.015174506828528073</x:v>
      </x:c>
      <x:c r="I241" s="13" t="n">
        <x:f>(H241-G241)*100</x:f>
        <x:v>0.27900336307461887</x:v>
      </x:c>
      <x:c r="J241" s="11" t="n">
        <x:f>Nguon!G242-Nguon!I242</x:f>
        <x:v>833</x:v>
      </x:c>
      <x:c r="K241" s="12" t="n">
        <x:f>Nguon!N242/Nguon!K242</x:f>
        <x:v>0.032884042908275825</x:v>
      </x:c>
      <x:c r="L241" s="12" t="n">
        <x:f>Nguon!O242/Nguon!K242</x:f>
        <x:v>0.008964551555330021</x:v>
      </x:c>
      <x:c r="M241" s="2"/>
      <x:c r="N241" s="2"/>
      <x:c r="O241" s="2"/>
      <x:c r="P241" s="2"/>
      <x:c r="Q241" s="2"/>
      <x:c r="R241" s="2"/>
      <x:c r="S241" s="2"/>
      <x:c r="T241" s="2"/>
      <x:c r="U241" s="2"/>
    </x:row>
    <x:row r="242" ht="26" customHeight="1">
      <x:c r="A242" s="2" t="str">
        <x:v>E09000020</x:v>
      </x:c>
      <x:c r="B242" s="2" t="str">
        <x:v>Trung học</x:v>
      </x:c>
      <x:c r="C242" s="2" t="str">
        <x:v>Kensington and Chelsea</x:v>
      </x:c>
      <x:c r="D242" s="12" t="n">
        <x:f>Nguon!F243/Nguon!D243</x:f>
        <x:v>0.21421597344268697</x:v>
      </x:c>
      <x:c r="E242" s="12" t="n">
        <x:f>Nguon!G243/Nguon!E243</x:f>
        <x:v>0.19884057971014493</x:v>
      </x:c>
      <x:c r="F242" s="13" t="n">
        <x:f>(E242-D242)*100</x:f>
        <x:v>-1.5375393732542042</x:v>
      </x:c>
      <x:c r="G242" s="12" t="n">
        <x:f>Nguon!H243/Nguon!D243</x:f>
        <x:v>0.026362038664323375</x:v>
      </x:c>
      <x:c r="H242" s="12" t="n">
        <x:f>Nguon!I243/Nguon!E243</x:f>
        <x:v>0.024927536231884057</x:v>
      </x:c>
      <x:c r="I242" s="13" t="n">
        <x:f>(H242-G242)*100</x:f>
        <x:v>-0.14345024324393177</x:v>
      </x:c>
      <x:c r="J242" s="11" t="n">
        <x:f>Nguon!G243-Nguon!I243</x:f>
        <x:v>900</x:v>
      </x:c>
      <x:c r="K242" s="12" t="n">
        <x:f>Nguon!N243/Nguon!K243</x:f>
        <x:v>0.028040280417222993</x:v>
      </x:c>
      <x:c r="L242" s="12" t="n">
        <x:f>Nguon!O243/Nguon!K243</x:f>
        <x:v>0.022876900761025352</x:v>
      </x:c>
      <x:c r="M242" s="2"/>
      <x:c r="N242" s="2"/>
      <x:c r="O242" s="2"/>
      <x:c r="P242" s="2"/>
      <x:c r="Q242" s="2"/>
      <x:c r="R242" s="2"/>
      <x:c r="S242" s="2"/>
      <x:c r="T242" s="2"/>
      <x:c r="U242" s="2"/>
    </x:row>
    <x:row r="243" ht="26" customHeight="1">
      <x:c r="A243" s="2" t="str">
        <x:v>E09000021</x:v>
      </x:c>
      <x:c r="B243" s="2" t="str">
        <x:v>Tiểu học</x:v>
      </x:c>
      <x:c r="C243" s="2" t="str">
        <x:v>Kingston upon Thames</x:v>
      </x:c>
      <x:c r="D243" s="12" t="n">
        <x:f>Nguon!F244/Nguon!D244</x:f>
        <x:v>0.12488679587031334</x:v>
      </x:c>
      <x:c r="E243" s="12" t="n">
        <x:f>Nguon!G244/Nguon!E244</x:f>
        <x:v>0.12458831278818105</x:v>
      </x:c>
      <x:c r="F243" s="13" t="n">
        <x:f>(E243-D243)*100</x:f>
        <x:v>-0.029848308213228925</x:v>
      </x:c>
      <x:c r="G243" s="12" t="n">
        <x:f>Nguon!H244/Nguon!D244</x:f>
        <x:v>0.007245064299945662</x:v>
      </x:c>
      <x:c r="H243" s="12" t="n">
        <x:f>Nguon!I244/Nguon!E244</x:f>
        <x:v>0.007527994730403689</x:v>
      </x:c>
      <x:c r="I243" s="13" t="n">
        <x:f>(H243-G243)*100</x:f>
        <x:v>0.028293043045802668</x:v>
      </x:c>
      <x:c r="J243" s="11" t="n">
        <x:f>Nguon!G244-Nguon!I244</x:f>
        <x:v>1244</x:v>
      </x:c>
      <x:c r="K243" s="12" t="n">
        <x:f>Nguon!N244/Nguon!K244</x:f>
        <x:v>0.025457966498637193</x:v>
      </x:c>
      <x:c r="L243" s="12" t="n">
        <x:f>Nguon!O244/Nguon!K244</x:f>
        <x:v>0.0066822574887656005</x:v>
      </x:c>
      <x:c r="M243" s="2"/>
      <x:c r="N243" s="2"/>
      <x:c r="O243" s="2"/>
      <x:c r="P243" s="2"/>
      <x:c r="Q243" s="2"/>
      <x:c r="R243" s="2"/>
      <x:c r="S243" s="2"/>
      <x:c r="T243" s="2"/>
      <x:c r="U243" s="2"/>
    </x:row>
    <x:row r="244" ht="26" customHeight="1">
      <x:c r="A244" s="2" t="str">
        <x:v>E09000021</x:v>
      </x:c>
      <x:c r="B244" s="2" t="str">
        <x:v>Trung học</x:v>
      </x:c>
      <x:c r="C244" s="2" t="str">
        <x:v>Kingston upon Thames</x:v>
      </x:c>
      <x:c r="D244" s="12" t="n">
        <x:f>Nguon!F245/Nguon!D245</x:f>
        <x:v>0.14949216053643624</x:v>
      </x:c>
      <x:c r="E244" s="12" t="n">
        <x:f>Nguon!G245/Nguon!E245</x:f>
        <x:v>0.13939152913103997</x:v>
      </x:c>
      <x:c r="F244" s="13" t="n">
        <x:f>(E244-D244)*100</x:f>
        <x:v>-1.0100631405396272</x:v>
      </x:c>
      <x:c r="G244" s="12" t="n">
        <x:f>Nguon!H245/Nguon!D245</x:f>
        <x:v>0.019031653683068733</x:v>
      </x:c>
      <x:c r="H244" s="12" t="n">
        <x:f>Nguon!I245/Nguon!E245</x:f>
        <x:v>0.015012925034798171</x:v>
      </x:c>
      <x:c r="I244" s="13" t="n">
        <x:f>(H244-G244)*100</x:f>
        <x:v>-0.40187286482705614</x:v>
      </x:c>
      <x:c r="J244" s="11" t="n">
        <x:f>Nguon!G245-Nguon!I245</x:f>
        <x:v>1251</x:v>
      </x:c>
      <x:c r="K244" s="12" t="n">
        <x:f>Nguon!N245/Nguon!K245</x:f>
        <x:v>0.02992014647366465</x:v>
      </x:c>
      <x:c r="L244" s="12" t="n">
        <x:f>Nguon!O245/Nguon!K245</x:f>
        <x:v>0.013282484493067579</x:v>
      </x:c>
      <x:c r="M244" s="2"/>
      <x:c r="N244" s="2"/>
      <x:c r="O244" s="2"/>
      <x:c r="P244" s="2"/>
      <x:c r="Q244" s="2"/>
      <x:c r="R244" s="2"/>
      <x:c r="S244" s="2"/>
      <x:c r="T244" s="2"/>
      <x:c r="U244" s="2"/>
    </x:row>
    <x:row r="245" ht="26" customHeight="1">
      <x:c r="A245" s="2" t="str">
        <x:v>E09000022</x:v>
      </x:c>
      <x:c r="B245" s="2" t="str">
        <x:v>Tiểu học</x:v>
      </x:c>
      <x:c r="C245" s="2" t="str">
        <x:v>Lambeth</x:v>
      </x:c>
      <x:c r="D245" s="12" t="n">
        <x:f>Nguon!F246/Nguon!D246</x:f>
        <x:v>0.167723609459638</x:v>
      </x:c>
      <x:c r="E245" s="12" t="n">
        <x:f>Nguon!G246/Nguon!E246</x:f>
        <x:v>0.16576030839127143</x:v>
      </x:c>
      <x:c r="F245" s="13" t="n">
        <x:f>(E245-D245)*100</x:f>
        <x:v>-0.1963301068366563</x:v>
      </x:c>
      <x:c r="G245" s="12" t="n">
        <x:f>Nguon!H246/Nguon!D246</x:f>
        <x:v>0.01070154577883472</x:v>
      </x:c>
      <x:c r="H245" s="12" t="n">
        <x:f>Nguon!I246/Nguon!E246</x:f>
        <x:v>0.010738624629999312</x:v>
      </x:c>
      <x:c r="I245" s="13" t="n">
        <x:f>(H245-G245)*100</x:f>
        <x:v>0.003707885116459135</x:v>
      </x:c>
      <x:c r="J245" s="11" t="n">
        <x:f>Nguon!G246-Nguon!I246</x:f>
        <x:v>2252</x:v>
      </x:c>
      <x:c r="K245" s="12" t="n">
        <x:f>Nguon!N246/Nguon!K246</x:f>
        <x:v>0.026661404384077127</x:v>
      </x:c>
      <x:c r="L245" s="12" t="n">
        <x:f>Nguon!O246/Nguon!K246</x:f>
        <x:v>0.010955973063070442</x:v>
      </x:c>
      <x:c r="M245" s="2"/>
      <x:c r="N245" s="2"/>
      <x:c r="O245" s="2"/>
      <x:c r="P245" s="2"/>
      <x:c r="Q245" s="2"/>
      <x:c r="R245" s="2"/>
      <x:c r="S245" s="2"/>
      <x:c r="T245" s="2"/>
      <x:c r="U245" s="2"/>
    </x:row>
    <x:row r="246" ht="26" customHeight="1">
      <x:c r="A246" s="2" t="str">
        <x:v>E09000022</x:v>
      </x:c>
      <x:c r="B246" s="2" t="str">
        <x:v>Trung học</x:v>
      </x:c>
      <x:c r="C246" s="2" t="str">
        <x:v>Lambeth</x:v>
      </x:c>
      <x:c r="D246" s="12" t="n">
        <x:f>Nguon!F247/Nguon!D247</x:f>
        <x:v>0.1912900575184881</x:v>
      </x:c>
      <x:c r="E246" s="12" t="n">
        <x:f>Nguon!G247/Nguon!E247</x:f>
        <x:v>0.1959233591520587</x:v>
      </x:c>
      <x:c r="F246" s="13" t="n">
        <x:f>(E246-D246)*100</x:f>
        <x:v>0.4633301633570591</x:v>
      </x:c>
      <x:c r="G246" s="12" t="n">
        <x:f>Nguon!H247/Nguon!D247</x:f>
        <x:v>0.022021364009860312</x:v>
      </x:c>
      <x:c r="H246" s="12" t="n">
        <x:f>Nguon!I247/Nguon!E247</x:f>
        <x:v>0.02217692621280065</x:v>
      </x:c>
      <x:c r="I246" s="13" t="n">
        <x:f>(H246-G246)*100</x:f>
        <x:v>0.01555622029403396</x:v>
      </x:c>
      <x:c r="J246" s="11" t="n">
        <x:f>Nguon!G247-Nguon!I247</x:f>
        <x:v>2131</x:v>
      </x:c>
      <x:c r="K246" s="12" t="n">
        <x:f>Nguon!N247/Nguon!K247</x:f>
        <x:v>0.030363522513251657</x:v>
      </x:c>
      <x:c r="L246" s="12" t="n">
        <x:f>Nguon!O247/Nguon!K247</x:f>
        <x:v>0.01998184571772518</x:v>
      </x:c>
      <x:c r="M246" s="2"/>
      <x:c r="N246" s="2"/>
      <x:c r="O246" s="2"/>
      <x:c r="P246" s="2"/>
      <x:c r="Q246" s="2"/>
      <x:c r="R246" s="2"/>
      <x:c r="S246" s="2"/>
      <x:c r="T246" s="2"/>
      <x:c r="U246" s="2"/>
    </x:row>
    <x:row r="247" ht="26" customHeight="1">
      <x:c r="A247" s="2" t="str">
        <x:v>E09000023</x:v>
      </x:c>
      <x:c r="B247" s="2" t="str">
        <x:v>Tiểu học</x:v>
      </x:c>
      <x:c r="C247" s="2" t="str">
        <x:v>Lewisham</x:v>
      </x:c>
      <x:c r="D247" s="12" t="n">
        <x:f>Nguon!F248/Nguon!D248</x:f>
        <x:v>0.149488204061525</x:v>
      </x:c>
      <x:c r="E247" s="12" t="n">
        <x:f>Nguon!G248/Nguon!E248</x:f>
        <x:v>0.14789802464967078</x:v>
      </x:c>
      <x:c r="F247" s="13" t="n">
        <x:f>(E247-D247)*100</x:f>
        <x:v>-0.15901794118542145</x:v>
      </x:c>
      <x:c r="G247" s="12" t="n">
        <x:f>Nguon!H248/Nguon!D248</x:f>
        <x:v>0.010619081504187422</x:v>
      </x:c>
      <x:c r="H247" s="12" t="n">
        <x:f>Nguon!I248/Nguon!E248</x:f>
        <x:v>0.01204344645168552</x:v>
      </x:c>
      <x:c r="I247" s="13" t="n">
        <x:f>(H247-G247)*100</x:f>
        <x:v>0.14243649474980982</x:v>
      </x:c>
      <x:c r="J247" s="11" t="n">
        <x:f>Nguon!G248-Nguon!I248</x:f>
        <x:v>2414</x:v>
      </x:c>
      <x:c r="K247" s="12" t="n">
        <x:f>Nguon!N248/Nguon!K248</x:f>
        <x:v>0.02537119173181056</x:v>
      </x:c>
      <x:c r="L247" s="12" t="n">
        <x:f>Nguon!O248/Nguon!K248</x:f>
        <x:v>0.0099397967638954</x:v>
      </x:c>
      <x:c r="M247" s="2"/>
      <x:c r="N247" s="2"/>
      <x:c r="O247" s="2"/>
      <x:c r="P247" s="2"/>
      <x:c r="Q247" s="2"/>
      <x:c r="R247" s="2"/>
      <x:c r="S247" s="2"/>
      <x:c r="T247" s="2"/>
      <x:c r="U247" s="2"/>
    </x:row>
    <x:row r="248" ht="26" customHeight="1">
      <x:c r="A248" s="2" t="str">
        <x:v>E09000023</x:v>
      </x:c>
      <x:c r="B248" s="2" t="str">
        <x:v>Trung học</x:v>
      </x:c>
      <x:c r="C248" s="2" t="str">
        <x:v>Lewisham</x:v>
      </x:c>
      <x:c r="D248" s="12" t="n">
        <x:f>Nguon!F249/Nguon!D249</x:f>
        <x:v>0.18369857747020377</x:v>
      </x:c>
      <x:c r="E248" s="12" t="n">
        <x:f>Nguon!G249/Nguon!E249</x:f>
        <x:v>0.16658936301793445</x:v>
      </x:c>
      <x:c r="F248" s="13" t="n">
        <x:f>(E248-D248)*100</x:f>
        <x:v>-1.7109214452269317</x:v>
      </x:c>
      <x:c r="G248" s="12" t="n">
        <x:f>Nguon!H249/Nguon!D249</x:f>
        <x:v>0.020069204152249134</x:v>
      </x:c>
      <x:c r="H248" s="12" t="n">
        <x:f>Nguon!I249/Nguon!E249</x:f>
        <x:v>0.015692640692640692</x:v>
      </x:c>
      <x:c r="I248" s="13" t="n">
        <x:f>(H248-G248)*100</x:f>
        <x:v>-0.43765634596084413</x:v>
      </x:c>
      <x:c r="J248" s="11" t="n">
        <x:f>Nguon!G249-Nguon!I249</x:f>
        <x:v>1952</x:v>
      </x:c>
      <x:c r="K248" s="12" t="n">
        <x:f>Nguon!N249/Nguon!K249</x:f>
        <x:v>0.026438218280821737</x:v>
      </x:c>
      <x:c r="L248" s="12" t="n">
        <x:f>Nguon!O249/Nguon!K249</x:f>
        <x:v>0.0219430185303456</x:v>
      </x:c>
      <x:c r="M248" s="2"/>
      <x:c r="N248" s="2"/>
      <x:c r="O248" s="2"/>
      <x:c r="P248" s="2"/>
      <x:c r="Q248" s="2"/>
      <x:c r="R248" s="2"/>
      <x:c r="S248" s="2"/>
      <x:c r="T248" s="2"/>
      <x:c r="U248" s="2"/>
    </x:row>
    <x:row r="249" ht="26" customHeight="1">
      <x:c r="A249" s="2" t="str">
        <x:v>E09000024</x:v>
      </x:c>
      <x:c r="B249" s="2" t="str">
        <x:v>Tiểu học</x:v>
      </x:c>
      <x:c r="C249" s="2" t="str">
        <x:v>Merton</x:v>
      </x:c>
      <x:c r="D249" s="12" t="n">
        <x:f>Nguon!F250/Nguon!D250</x:f>
        <x:v>0.13315866533097018</x:v>
      </x:c>
      <x:c r="E249" s="12" t="n">
        <x:f>Nguon!G250/Nguon!E250</x:f>
        <x:v>0.1309514251304697</x:v>
      </x:c>
      <x:c r="F249" s="13" t="n">
        <x:f>(E249-D249)*100</x:f>
        <x:v>-0.22072402005004765</x:v>
      </x:c>
      <x:c r="G249" s="12" t="n">
        <x:f>Nguon!H250/Nguon!D250</x:f>
        <x:v>0.006010634198967404</x:v>
      </x:c>
      <x:c r="H249" s="12" t="n">
        <x:f>Nguon!I250/Nguon!E250</x:f>
        <x:v>0.007948615014050583</x:v>
      </x:c>
      <x:c r="I249" s="13" t="n">
        <x:f>(H249-G249)*100</x:f>
        <x:v>0.19379808150831787</x:v>
      </x:c>
      <x:c r="J249" s="11" t="n">
        <x:f>Nguon!G250-Nguon!I250</x:f>
        <x:v>1532</x:v>
      </x:c>
      <x:c r="K249" s="12" t="n">
        <x:f>Nguon!N250/Nguon!K250</x:f>
        <x:v>0.027490479036754258</x:v>
      </x:c>
      <x:c r="L249" s="12" t="n">
        <x:f>Nguon!O250/Nguon!K250</x:f>
        <x:v>0.007217149893729438</x:v>
      </x:c>
      <x:c r="M249" s="2"/>
      <x:c r="N249" s="2"/>
      <x:c r="O249" s="2"/>
      <x:c r="P249" s="2"/>
      <x:c r="Q249" s="2"/>
      <x:c r="R249" s="2"/>
      <x:c r="S249" s="2"/>
      <x:c r="T249" s="2"/>
      <x:c r="U249" s="2"/>
    </x:row>
    <x:row r="250" ht="26" customHeight="1">
      <x:c r="A250" s="2" t="str">
        <x:v>E09000024</x:v>
      </x:c>
      <x:c r="B250" s="2" t="str">
        <x:v>Trung học</x:v>
      </x:c>
      <x:c r="C250" s="2" t="str">
        <x:v>Merton</x:v>
      </x:c>
      <x:c r="D250" s="12" t="n">
        <x:f>Nguon!F251/Nguon!D251</x:f>
        <x:v>0.16823034616628924</x:v>
      </x:c>
      <x:c r="E250" s="12" t="n">
        <x:f>Nguon!G251/Nguon!E251</x:f>
        <x:v>0.16390063998264454</x:v>
      </x:c>
      <x:c r="F250" s="13" t="n">
        <x:f>(E250-D250)*100</x:f>
        <x:v>-0.43297061836446993</x:v>
      </x:c>
      <x:c r="G250" s="12" t="n">
        <x:f>Nguon!H251/Nguon!D251</x:f>
        <x:v>0.018332794133505876</x:v>
      </x:c>
      <x:c r="H250" s="12" t="n">
        <x:f>Nguon!I251/Nguon!E251</x:f>
        <x:v>0.017463933181473046</x:v>
      </x:c>
      <x:c r="I250" s="13" t="n">
        <x:f>(H250-G250)*100</x:f>
        <x:v>-0.08688609520328301</x:v>
      </x:c>
      <x:c r="J250" s="11" t="n">
        <x:f>Nguon!G251-Nguon!I251</x:f>
        <x:v>1350</x:v>
      </x:c>
      <x:c r="K250" s="12" t="n">
        <x:f>Nguon!N251/Nguon!K251</x:f>
        <x:v>0.03118290743123886</x:v>
      </x:c>
      <x:c r="L250" s="12" t="n">
        <x:f>Nguon!O251/Nguon!K251</x:f>
        <x:v>0.01773681728440455</x:v>
      </x:c>
      <x:c r="M250" s="2"/>
      <x:c r="N250" s="2"/>
      <x:c r="O250" s="2"/>
      <x:c r="P250" s="2"/>
      <x:c r="Q250" s="2"/>
      <x:c r="R250" s="2"/>
      <x:c r="S250" s="2"/>
      <x:c r="T250" s="2"/>
      <x:c r="U250" s="2"/>
    </x:row>
    <x:row r="251" ht="26" customHeight="1">
      <x:c r="A251" s="2" t="str">
        <x:v>E09000025</x:v>
      </x:c>
      <x:c r="B251" s="2" t="str">
        <x:v>Tiểu học</x:v>
      </x:c>
      <x:c r="C251" s="2" t="str">
        <x:v>Newham</x:v>
      </x:c>
      <x:c r="D251" s="12" t="n">
        <x:f>Nguon!F252/Nguon!D252</x:f>
        <x:v>0.17371913011426465</x:v>
      </x:c>
      <x:c r="E251" s="12" t="n">
        <x:f>Nguon!G252/Nguon!E252</x:f>
        <x:v>0.17761268333780109</x:v>
      </x:c>
      <x:c r="F251" s="13" t="n">
        <x:f>(E251-D251)*100</x:f>
        <x:v>0.38935532235364334</x:v>
      </x:c>
      <x:c r="G251" s="12" t="n">
        <x:f>Nguon!H252/Nguon!D252</x:f>
        <x:v>0.018761518614080354</x:v>
      </x:c>
      <x:c r="H251" s="12" t="n">
        <x:f>Nguon!I252/Nguon!E252</x:f>
        <x:v>0.01903266572205415</x:v>
      </x:c>
      <x:c r="I251" s="13" t="n">
        <x:f>(H251-G251)*100</x:f>
        <x:v>0.027114710797379593</x:v>
      </x:c>
      <x:c r="J251" s="11" t="n">
        <x:f>Nguon!G252-Nguon!I252</x:f>
        <x:v>4141</x:v>
      </x:c>
      <x:c r="K251" s="12" t="n">
        <x:f>Nguon!N252/Nguon!K252</x:f>
        <x:v>0.027872640936550633</x:v>
      </x:c>
      <x:c r="L251" s="12" t="n">
        <x:f>Nguon!O252/Nguon!K252</x:f>
        <x:v>0.014810826205502904</x:v>
      </x:c>
      <x:c r="M251" s="2"/>
      <x:c r="N251" s="2"/>
      <x:c r="O251" s="2"/>
      <x:c r="P251" s="2"/>
      <x:c r="Q251" s="2"/>
      <x:c r="R251" s="2"/>
      <x:c r="S251" s="2"/>
      <x:c r="T251" s="2"/>
      <x:c r="U251" s="2"/>
    </x:row>
    <x:row r="252" ht="26" customHeight="1">
      <x:c r="A252" s="2" t="str">
        <x:v>E09000025</x:v>
      </x:c>
      <x:c r="B252" s="2" t="str">
        <x:v>Trung học</x:v>
      </x:c>
      <x:c r="C252" s="2" t="str">
        <x:v>Newham</x:v>
      </x:c>
      <x:c r="D252" s="12" t="n">
        <x:f>Nguon!F253/Nguon!D253</x:f>
        <x:v>0.17453396271701735</x:v>
      </x:c>
      <x:c r="E252" s="12" t="n">
        <x:f>Nguon!G253/Nguon!E253</x:f>
        <x:v>0.18902563683199083</x:v>
      </x:c>
      <x:c r="F252" s="13" t="n">
        <x:f>(E252-D252)*100</x:f>
        <x:v>1.4491674114973485</x:v>
      </x:c>
      <x:c r="G252" s="12" t="n">
        <x:f>Nguon!H253/Nguon!D253</x:f>
        <x:v>0.022721817745419634</x:v>
      </x:c>
      <x:c r="H252" s="12" t="n">
        <x:f>Nguon!I253/Nguon!E253</x:f>
        <x:v>0.022652001471971214</x:v>
      </x:c>
      <x:c r="I252" s="13" t="n">
        <x:f>(H252-G252)*100</x:f>
        <x:v>-0.006981627344842048</x:v>
      </x:c>
      <x:c r="J252" s="11" t="n">
        <x:f>Nguon!G253-Nguon!I253</x:f>
        <x:v>4069</x:v>
      </x:c>
      <x:c r="K252" s="12" t="n">
        <x:f>Nguon!N253/Nguon!K253</x:f>
        <x:v>0.027538773804295678</x:v>
      </x:c>
      <x:c r="L252" s="12" t="n">
        <x:f>Nguon!O253/Nguon!K253</x:f>
        <x:v>0.022119397222027746</x:v>
      </x:c>
      <x:c r="M252" s="2"/>
      <x:c r="N252" s="2"/>
      <x:c r="O252" s="2"/>
      <x:c r="P252" s="2"/>
      <x:c r="Q252" s="2"/>
      <x:c r="R252" s="2"/>
      <x:c r="S252" s="2"/>
      <x:c r="T252" s="2"/>
      <x:c r="U252" s="2"/>
    </x:row>
    <x:row r="253" ht="26" customHeight="1">
      <x:c r="A253" s="2" t="str">
        <x:v>E09000026</x:v>
      </x:c>
      <x:c r="B253" s="2" t="str">
        <x:v>Tiểu học</x:v>
      </x:c>
      <x:c r="C253" s="2" t="str">
        <x:v>Redbridge</x:v>
      </x:c>
      <x:c r="D253" s="12" t="n">
        <x:f>Nguon!F254/Nguon!D254</x:f>
        <x:v>0.15573596293620096</x:v>
      </x:c>
      <x:c r="E253" s="12" t="n">
        <x:f>Nguon!G254/Nguon!E254</x:f>
        <x:v>0.16277146711929322</x:v>
      </x:c>
      <x:c r="F253" s="13" t="n">
        <x:f>(E253-D253)*100</x:f>
        <x:v>0.7035504183092262</x:v>
      </x:c>
      <x:c r="G253" s="12" t="n">
        <x:f>Nguon!H254/Nguon!D254</x:f>
        <x:v>0.00850087133931228</x:v>
      </x:c>
      <x:c r="H253" s="12" t="n">
        <x:f>Nguon!I254/Nguon!E254</x:f>
        <x:v>0.00931366148757453</x:v>
      </x:c>
      <x:c r="I253" s="13" t="n">
        <x:f>(H253-G253)*100</x:f>
        <x:v>0.08127901482622504</x:v>
      </x:c>
      <x:c r="J253" s="11" t="n">
        <x:f>Nguon!G254-Nguon!I254</x:f>
        <x:v>3526</x:v>
      </x:c>
      <x:c r="K253" s="12" t="n">
        <x:f>Nguon!N254/Nguon!K254</x:f>
        <x:v>0.03200870889167244</x:v>
      </x:c>
      <x:c r="L253" s="12" t="n">
        <x:f>Nguon!O254/Nguon!K254</x:f>
        <x:v>0.007774489658191139</x:v>
      </x:c>
      <x:c r="M253" s="2"/>
      <x:c r="N253" s="2"/>
      <x:c r="O253" s="2"/>
      <x:c r="P253" s="2"/>
      <x:c r="Q253" s="2"/>
      <x:c r="R253" s="2"/>
      <x:c r="S253" s="2"/>
      <x:c r="T253" s="2"/>
      <x:c r="U253" s="2"/>
    </x:row>
    <x:row r="254" ht="26" customHeight="1">
      <x:c r="A254" s="2" t="str">
        <x:v>E09000026</x:v>
      </x:c>
      <x:c r="B254" s="2" t="str">
        <x:v>Trung học</x:v>
      </x:c>
      <x:c r="C254" s="2" t="str">
        <x:v>Redbridge</x:v>
      </x:c>
      <x:c r="D254" s="12" t="n">
        <x:f>Nguon!F255/Nguon!D255</x:f>
        <x:v>0.15213690138385647</x:v>
      </x:c>
      <x:c r="E254" s="12" t="n">
        <x:f>Nguon!G255/Nguon!E255</x:f>
        <x:v>0.16632580473057088</x:v>
      </x:c>
      <x:c r="F254" s="13" t="n">
        <x:f>(E254-D254)*100</x:f>
        <x:v>1.418890334671441</x:v>
      </x:c>
      <x:c r="G254" s="12" t="n">
        <x:f>Nguon!H255/Nguon!D255</x:f>
        <x:v>0.014187802855022483</x:v>
      </x:c>
      <x:c r="H254" s="12" t="n">
        <x:f>Nguon!I255/Nguon!E255</x:f>
        <x:v>0.014627423083763115</x:v>
      </x:c>
      <x:c r="I254" s="13" t="n">
        <x:f>(H254-G254)*100</x:f>
        <x:v>0.04396202287406323</x:v>
      </x:c>
      <x:c r="J254" s="11" t="n">
        <x:f>Nguon!G255-Nguon!I255</x:f>
        <x:v>3412</x:v>
      </x:c>
      <x:c r="K254" s="12" t="n">
        <x:f>Nguon!N255/Nguon!K255</x:f>
        <x:v>0.03256647773310857</x:v>
      </x:c>
      <x:c r="L254" s="12" t="n">
        <x:f>Nguon!O255/Nguon!K255</x:f>
        <x:v>0.012333369972241973</x:v>
      </x:c>
      <x:c r="M254" s="2"/>
      <x:c r="N254" s="2"/>
      <x:c r="O254" s="2"/>
      <x:c r="P254" s="2"/>
      <x:c r="Q254" s="2"/>
      <x:c r="R254" s="2"/>
      <x:c r="S254" s="2"/>
      <x:c r="T254" s="2"/>
      <x:c r="U254" s="2"/>
    </x:row>
    <x:row r="255" ht="26" customHeight="1">
      <x:c r="A255" s="2" t="str">
        <x:v>E09000027</x:v>
      </x:c>
      <x:c r="B255" s="2" t="str">
        <x:v>Tiểu học</x:v>
      </x:c>
      <x:c r="C255" s="2" t="str">
        <x:v>Richmond upon Thames</x:v>
      </x:c>
      <x:c r="D255" s="12" t="n">
        <x:f>Nguon!F256/Nguon!D256</x:f>
        <x:v>0.10659486574210682</x:v>
      </x:c>
      <x:c r="E255" s="12" t="n">
        <x:f>Nguon!G256/Nguon!E256</x:f>
        <x:v>0.09938826372630466</x:v>
      </x:c>
      <x:c r="F255" s="13" t="n">
        <x:f>(E255-D255)*100</x:f>
        <x:v>-0.7206602015802157</x:v>
      </x:c>
      <x:c r="G255" s="12" t="n">
        <x:f>Nguon!H256/Nguon!D256</x:f>
        <x:v>0.005606373561522573</x:v>
      </x:c>
      <x:c r="H255" s="12" t="n">
        <x:f>Nguon!I256/Nguon!E256</x:f>
        <x:v>0.006570500717468469</x:v>
      </x:c>
      <x:c r="I255" s="13" t="n">
        <x:f>(H255-G255)*100</x:f>
        <x:v>0.09641271559458964</x:v>
      </x:c>
      <x:c r="J255" s="11" t="n">
        <x:f>Nguon!G256-Nguon!I256</x:f>
        <x:v>1229</x:v>
      </x:c>
      <x:c r="K255" s="12" t="n">
        <x:f>Nguon!N256/Nguon!K256</x:f>
        <x:v>0.022523158194632676</x:v>
      </x:c>
      <x:c r="L255" s="12" t="n">
        <x:f>Nguon!O256/Nguon!K256</x:f>
        <x:v>0.006850938176473564</x:v>
      </x:c>
      <x:c r="M255" s="2"/>
      <x:c r="N255" s="2"/>
      <x:c r="O255" s="2"/>
      <x:c r="P255" s="2"/>
      <x:c r="Q255" s="2"/>
      <x:c r="R255" s="2"/>
      <x:c r="S255" s="2"/>
      <x:c r="T255" s="2"/>
      <x:c r="U255" s="2"/>
    </x:row>
    <x:row r="256" ht="26" customHeight="1">
      <x:c r="A256" s="2" t="str">
        <x:v>E09000027</x:v>
      </x:c>
      <x:c r="B256" s="2" t="str">
        <x:v>Trung học</x:v>
      </x:c>
      <x:c r="C256" s="2" t="str">
        <x:v>Richmond upon Thames</x:v>
      </x:c>
      <x:c r="D256" s="12" t="n">
        <x:f>Nguon!F257/Nguon!D257</x:f>
        <x:v>0.15334528640181183</x:v>
      </x:c>
      <x:c r="E256" s="12" t="n">
        <x:f>Nguon!G257/Nguon!E257</x:f>
        <x:v>0.16240445409078041</x:v>
      </x:c>
      <x:c r="F256" s="13" t="n">
        <x:f>(E256-D256)*100</x:f>
        <x:v>0.9059167688968583</x:v>
      </x:c>
      <x:c r="G256" s="12" t="n">
        <x:f>Nguon!H257/Nguon!D257</x:f>
        <x:v>0.020571859960366142</x:v>
      </x:c>
      <x:c r="H256" s="12" t="n">
        <x:f>Nguon!I257/Nguon!E257</x:f>
        <x:v>0.021704255921487215</x:v>
      </x:c>
      <x:c r="I256" s="13" t="n">
        <x:f>(H256-G256)*100</x:f>
        <x:v>0.1132395961121073</x:v>
      </x:c>
      <x:c r="J256" s="11" t="n">
        <x:f>Nguon!G257-Nguon!I257</x:f>
        <x:v>1491</x:v>
      </x:c>
      <x:c r="K256" s="12" t="n">
        <x:f>Nguon!N257/Nguon!K257</x:f>
        <x:v>0.030439119226342373</x:v>
      </x:c>
      <x:c r="L256" s="12" t="n">
        <x:f>Nguon!O257/Nguon!K257</x:f>
        <x:v>0.01910820182259505</x:v>
      </x:c>
      <x:c r="M256" s="2"/>
      <x:c r="N256" s="2"/>
      <x:c r="O256" s="2"/>
      <x:c r="P256" s="2"/>
      <x:c r="Q256" s="2"/>
      <x:c r="R256" s="2"/>
      <x:c r="S256" s="2"/>
      <x:c r="T256" s="2"/>
      <x:c r="U256" s="2"/>
    </x:row>
    <x:row r="257" ht="26" customHeight="1">
      <x:c r="A257" s="2" t="str">
        <x:v>E09000028</x:v>
      </x:c>
      <x:c r="B257" s="2" t="str">
        <x:v>Tiểu học</x:v>
      </x:c>
      <x:c r="C257" s="2" t="str">
        <x:v>Southwark</x:v>
      </x:c>
      <x:c r="D257" s="12" t="n">
        <x:f>Nguon!F258/Nguon!D258</x:f>
        <x:v>0.16155515158623115</x:v>
      </x:c>
      <x:c r="E257" s="12" t="n">
        <x:f>Nguon!G258/Nguon!E258</x:f>
        <x:v>0.1566124578091439</x:v>
      </x:c>
      <x:c r="F257" s="13" t="n">
        <x:f>(E257-D257)*100</x:f>
        <x:v>-0.49426937770872537</x:v>
      </x:c>
      <x:c r="G257" s="12" t="n">
        <x:f>Nguon!H258/Nguon!D258</x:f>
        <x:v>0.008972028382102856</x:v>
      </x:c>
      <x:c r="H257" s="12" t="n">
        <x:f>Nguon!I258/Nguon!E258</x:f>
        <x:v>0.01024854249769868</x:v>
      </x:c>
      <x:c r="I257" s="13" t="n">
        <x:f>(H257-G257)*100</x:f>
        <x:v>0.1276514115595824</x:v>
      </x:c>
      <x:c r="J257" s="11" t="n">
        <x:f>Nguon!G258-Nguon!I258</x:f>
        <x:v>2385</x:v>
      </x:c>
      <x:c r="K257" s="12" t="n">
        <x:f>Nguon!N258/Nguon!K258</x:f>
        <x:v>0.028769635974417205</x:v>
      </x:c>
      <x:c r="L257" s="12" t="n">
        <x:f>Nguon!O258/Nguon!K258</x:f>
        <x:v>0.007445797709947191</x:v>
      </x:c>
      <x:c r="M257" s="2"/>
      <x:c r="N257" s="2"/>
      <x:c r="O257" s="2"/>
      <x:c r="P257" s="2"/>
      <x:c r="Q257" s="2"/>
      <x:c r="R257" s="2"/>
      <x:c r="S257" s="2"/>
      <x:c r="T257" s="2"/>
      <x:c r="U257" s="2"/>
    </x:row>
    <x:row r="258" ht="26" customHeight="1">
      <x:c r="A258" s="2" t="str">
        <x:v>E09000028</x:v>
      </x:c>
      <x:c r="B258" s="2" t="str">
        <x:v>Trung học</x:v>
      </x:c>
      <x:c r="C258" s="2" t="str">
        <x:v>Southwark</x:v>
      </x:c>
      <x:c r="D258" s="12" t="n">
        <x:f>Nguon!F259/Nguon!D259</x:f>
        <x:v>0.17505272672491715</x:v>
      </x:c>
      <x:c r="E258" s="12" t="n">
        <x:f>Nguon!G259/Nguon!E259</x:f>
        <x:v>0.1831490518253135</x:v>
      </x:c>
      <x:c r="F258" s="13" t="n">
        <x:f>(E258-D258)*100</x:f>
        <x:v>0.8096325100396345</x:v>
      </x:c>
      <x:c r="G258" s="12" t="n">
        <x:f>Nguon!H259/Nguon!D259</x:f>
        <x:v>0.017535402229587226</x:v>
      </x:c>
      <x:c r="H258" s="12" t="n">
        <x:f>Nguon!I259/Nguon!E259</x:f>
        <x:v>0.01606028784977454</x:v>
      </x:c>
      <x:c r="I258" s="13" t="n">
        <x:f>(H258-G258)*100</x:f>
        <x:v>-0.14751143798126878</x:v>
      </x:c>
      <x:c r="J258" s="11" t="n">
        <x:f>Nguon!G259-Nguon!I259</x:f>
        <x:v>2705</x:v>
      </x:c>
      <x:c r="K258" s="12" t="n">
        <x:f>Nguon!N259/Nguon!K259</x:f>
        <x:v>0.03085442675208886</x:v>
      </x:c>
      <x:c r="L258" s="12" t="n">
        <x:f>Nguon!O259/Nguon!K259</x:f>
        <x:v>0.01639082671283818</x:v>
      </x:c>
      <x:c r="M258" s="2"/>
      <x:c r="N258" s="2"/>
      <x:c r="O258" s="2"/>
      <x:c r="P258" s="2"/>
      <x:c r="Q258" s="2"/>
      <x:c r="R258" s="2"/>
      <x:c r="S258" s="2"/>
      <x:c r="T258" s="2"/>
      <x:c r="U258" s="2"/>
    </x:row>
    <x:row r="259" ht="26" customHeight="1">
      <x:c r="A259" s="2" t="str">
        <x:v>E09000029</x:v>
      </x:c>
      <x:c r="B259" s="2" t="str">
        <x:v>Tiểu học</x:v>
      </x:c>
      <x:c r="C259" s="2" t="str">
        <x:v>Sutton</x:v>
      </x:c>
      <x:c r="D259" s="12" t="n">
        <x:f>Nguon!F260/Nguon!D260</x:f>
        <x:v>0.13251770766258855</x:v>
      </x:c>
      <x:c r="E259" s="12" t="n">
        <x:f>Nguon!G260/Nguon!E260</x:f>
        <x:v>0.12720067563178067</x:v>
      </x:c>
      <x:c r="F259" s="13" t="n">
        <x:f>(E259-D259)*100</x:f>
        <x:v>-0.5317032030807883</x:v>
      </x:c>
      <x:c r="G259" s="12" t="n">
        <x:f>Nguon!H260/Nguon!D260</x:f>
        <x:v>0.005730843528654218</x:v>
      </x:c>
      <x:c r="H259" s="12" t="n">
        <x:f>Nguon!I260/Nguon!E260</x:f>
        <x:v>0.007340999155460274</x:v>
      </x:c>
      <x:c r="I259" s="13" t="n">
        <x:f>(H259-G259)*100</x:f>
        <x:v>0.1610155626806056</x:v>
      </x:c>
      <x:c r="J259" s="11" t="n">
        <x:f>Nguon!G260-Nguon!I260</x:f>
        <x:v>1845</x:v>
      </x:c>
      <x:c r="K259" s="12" t="n">
        <x:f>Nguon!N260/Nguon!K260</x:f>
        <x:v>0.029079004403499732</x:v>
      </x:c>
      <x:c r="L259" s="12" t="n">
        <x:f>Nguon!O260/Nguon!K260</x:f>
        <x:v>0.006541996960152699</x:v>
      </x:c>
      <x:c r="M259" s="2"/>
      <x:c r="N259" s="2"/>
      <x:c r="O259" s="2"/>
      <x:c r="P259" s="2"/>
      <x:c r="Q259" s="2"/>
      <x:c r="R259" s="2"/>
      <x:c r="S259" s="2"/>
      <x:c r="T259" s="2"/>
      <x:c r="U259" s="2"/>
    </x:row>
    <x:row r="260" ht="26" customHeight="1">
      <x:c r="A260" s="2" t="str">
        <x:v>E09000029</x:v>
      </x:c>
      <x:c r="B260" s="2" t="str">
        <x:v>Trung học</x:v>
      </x:c>
      <x:c r="C260" s="2" t="str">
        <x:v>Sutton</x:v>
      </x:c>
      <x:c r="D260" s="12" t="n">
        <x:f>Nguon!F261/Nguon!D261</x:f>
        <x:v>0.14996227729092915</x:v>
      </x:c>
      <x:c r="E260" s="12" t="n">
        <x:f>Nguon!G261/Nguon!E261</x:f>
        <x:v>0.15024185558598985</x:v>
      </x:c>
      <x:c r="F260" s="13" t="n">
        <x:f>(E260-D260)*100</x:f>
        <x:v>0.027957829506070064</x:v>
      </x:c>
      <x:c r="G260" s="12" t="n">
        <x:f>Nguon!H261/Nguon!D261</x:f>
        <x:v>0.01746851604666009</x:v>
      </x:c>
      <x:c r="H260" s="12" t="n">
        <x:f>Nguon!I261/Nguon!E261</x:f>
        <x:v>0.01730870097325019</x:v>
      </x:c>
      <x:c r="I260" s="13" t="n">
        <x:f>(H260-G260)*100</x:f>
        <x:v>-0.015981507340990034</x:v>
      </x:c>
      <x:c r="J260" s="11" t="n">
        <x:f>Nguon!G261-Nguon!I261</x:f>
        <x:v>2281</x:v>
      </x:c>
      <x:c r="K260" s="12" t="n">
        <x:f>Nguon!N261/Nguon!K261</x:f>
        <x:v>0.033120383896654546</x:v>
      </x:c>
      <x:c r="L260" s="12" t="n">
        <x:f>Nguon!O261/Nguon!K261</x:f>
        <x:v>0.011916075672409007</x:v>
      </x:c>
      <x:c r="M260" s="2"/>
      <x:c r="N260" s="2"/>
      <x:c r="O260" s="2"/>
      <x:c r="P260" s="2"/>
      <x:c r="Q260" s="2"/>
      <x:c r="R260" s="2"/>
      <x:c r="S260" s="2"/>
      <x:c r="T260" s="2"/>
      <x:c r="U260" s="2"/>
    </x:row>
    <x:row r="261" ht="26" customHeight="1">
      <x:c r="A261" s="2" t="str">
        <x:v>E09000030</x:v>
      </x:c>
      <x:c r="B261" s="2" t="str">
        <x:v>Tiểu học</x:v>
      </x:c>
      <x:c r="C261" s="2" t="str">
        <x:v>Tower Hamlets</x:v>
      </x:c>
      <x:c r="D261" s="12" t="n">
        <x:f>Nguon!F262/Nguon!D262</x:f>
        <x:v>0.18673453157308734</x:v>
      </x:c>
      <x:c r="E261" s="12" t="n">
        <x:f>Nguon!G262/Nguon!E262</x:f>
        <x:v>0.18532608695652175</x:v>
      </x:c>
      <x:c r="F261" s="13" t="n">
        <x:f>(E261-D261)*100</x:f>
        <x:v>-0.1408444616565585</x:v>
      </x:c>
      <x:c r="G261" s="12" t="n">
        <x:f>Nguon!H262/Nguon!D262</x:f>
        <x:v>0.006521393351359949</x:v>
      </x:c>
      <x:c r="H261" s="12" t="n">
        <x:f>Nguon!I262/Nguon!E262</x:f>
        <x:v>0.006847826086956521</x:v>
      </x:c>
      <x:c r="I261" s="13" t="n">
        <x:f>(H261-G261)*100</x:f>
        <x:v>0.03264327355965721</x:v>
      </x:c>
      <x:c r="J261" s="11" t="n">
        <x:f>Nguon!G262-Nguon!I262</x:f>
        <x:v>3284</x:v>
      </x:c>
      <x:c r="K261" s="12" t="n">
        <x:f>Nguon!N262/Nguon!K262</x:f>
        <x:v>0.03771138208874192</x:v>
      </x:c>
      <x:c r="L261" s="12" t="n">
        <x:f>Nguon!O262/Nguon!K262</x:f>
        <x:v>0.007230254553082276</x:v>
      </x:c>
      <x:c r="M261" s="2"/>
      <x:c r="N261" s="2"/>
      <x:c r="O261" s="2"/>
      <x:c r="P261" s="2"/>
      <x:c r="Q261" s="2"/>
      <x:c r="R261" s="2"/>
      <x:c r="S261" s="2"/>
      <x:c r="T261" s="2"/>
      <x:c r="U261" s="2"/>
    </x:row>
    <x:row r="262" ht="26" customHeight="1">
      <x:c r="A262" s="2" t="str">
        <x:v>E09000030</x:v>
      </x:c>
      <x:c r="B262" s="2" t="str">
        <x:v>Trung học</x:v>
      </x:c>
      <x:c r="C262" s="2" t="str">
        <x:v>Tower Hamlets</x:v>
      </x:c>
      <x:c r="D262" s="12" t="n">
        <x:f>Nguon!F263/Nguon!D263</x:f>
        <x:v>0.16866201815550586</x:v>
      </x:c>
      <x:c r="E262" s="12" t="n">
        <x:f>Nguon!G263/Nguon!E263</x:f>
        <x:v>0.1758263772954925</x:v>
      </x:c>
      <x:c r="F262" s="13" t="n">
        <x:f>(E262-D262)*100</x:f>
        <x:v>0.7164359139986642</x:v>
      </x:c>
      <x:c r="G262" s="12" t="n">
        <x:f>Nguon!H263/Nguon!D263</x:f>
        <x:v>0.015392711485330878</x:v>
      </x:c>
      <x:c r="H262" s="12" t="n">
        <x:f>Nguon!I263/Nguon!E263</x:f>
        <x:v>0.01308848080133556</x:v>
      </x:c>
      <x:c r="I262" s="13" t="n">
        <x:f>(H262-G262)*100</x:f>
        <x:v>-0.23042306839953178</x:v>
      </x:c>
      <x:c r="J262" s="11" t="n">
        <x:f>Nguon!G263-Nguon!I263</x:f>
        <x:v>2437</x:v>
      </x:c>
      <x:c r="K262" s="12" t="n">
        <x:f>Nguon!N263/Nguon!K263</x:f>
        <x:v>0.03182603175652456</x:v>
      </x:c>
      <x:c r="L262" s="12" t="n">
        <x:f>Nguon!O263/Nguon!K263</x:f>
        <x:v>0.01793480030777591</x:v>
      </x:c>
      <x:c r="M262" s="2"/>
      <x:c r="N262" s="2"/>
      <x:c r="O262" s="2"/>
      <x:c r="P262" s="2"/>
      <x:c r="Q262" s="2"/>
      <x:c r="R262" s="2"/>
      <x:c r="S262" s="2"/>
      <x:c r="T262" s="2"/>
      <x:c r="U262" s="2"/>
    </x:row>
    <x:row r="263" ht="26" customHeight="1">
      <x:c r="A263" s="2" t="str">
        <x:v>E09000031</x:v>
      </x:c>
      <x:c r="B263" s="2" t="str">
        <x:v>Tiểu học</x:v>
      </x:c>
      <x:c r="C263" s="2" t="str">
        <x:v>Waltham Forest</x:v>
      </x:c>
      <x:c r="D263" s="12" t="n">
        <x:f>Nguon!F264/Nguon!D264</x:f>
        <x:v>0.13258670520231214</x:v>
      </x:c>
      <x:c r="E263" s="12" t="n">
        <x:f>Nguon!G264/Nguon!E264</x:f>
        <x:v>0.13505701823532504</x:v>
      </x:c>
      <x:c r="F263" s="13" t="n">
        <x:f>(E263-D263)*100</x:f>
        <x:v>0.24703130330128997</x:v>
      </x:c>
      <x:c r="G263" s="12" t="n">
        <x:f>Nguon!H264/Nguon!D264</x:f>
        <x:v>0.008154417836498761</x:v>
      </x:c>
      <x:c r="H263" s="12" t="n">
        <x:f>Nguon!I264/Nguon!E264</x:f>
        <x:v>0.008565873140995323</x:v>
      </x:c>
      <x:c r="I263" s="13" t="n">
        <x:f>(H263-G263)*100</x:f>
        <x:v>0.041145530449656145</x:v>
      </x:c>
      <x:c r="J263" s="11" t="n">
        <x:f>Nguon!G264-Nguon!I264</x:f>
        <x:v>2407</x:v>
      </x:c>
      <x:c r="K263" s="12" t="n">
        <x:f>Nguon!N264/Nguon!K264</x:f>
        <x:v>0.024805738977044616</x:v>
      </x:c>
      <x:c r="L263" s="12" t="n">
        <x:f>Nguon!O264/Nguon!K264</x:f>
        <x:v>0.01074431798425423</x:v>
      </x:c>
      <x:c r="M263" s="2"/>
      <x:c r="N263" s="2"/>
      <x:c r="O263" s="2"/>
      <x:c r="P263" s="2"/>
      <x:c r="Q263" s="2"/>
      <x:c r="R263" s="2"/>
      <x:c r="S263" s="2"/>
      <x:c r="T263" s="2"/>
      <x:c r="U263" s="2"/>
    </x:row>
    <x:row r="264" ht="26" customHeight="1">
      <x:c r="A264" s="2" t="str">
        <x:v>E09000031</x:v>
      </x:c>
      <x:c r="B264" s="2" t="str">
        <x:v>Trung học</x:v>
      </x:c>
      <x:c r="C264" s="2" t="str">
        <x:v>Waltham Forest</x:v>
      </x:c>
      <x:c r="D264" s="12" t="n">
        <x:f>Nguon!F265/Nguon!D265</x:f>
        <x:v>0.20033615618333442</x:v>
      </x:c>
      <x:c r="E264" s="12" t="n">
        <x:f>Nguon!G265/Nguon!E265</x:f>
        <x:v>0.19872898186151197</x:v>
      </x:c>
      <x:c r="F264" s="13" t="n">
        <x:f>(E264-D264)*100</x:f>
        <x:v>-0.16071743218224466</x:v>
      </x:c>
      <x:c r="G264" s="12" t="n">
        <x:f>Nguon!H265/Nguon!D265</x:f>
        <x:v>0.01848859008339259</x:v>
      </x:c>
      <x:c r="H264" s="12" t="n">
        <x:f>Nguon!I265/Nguon!E265</x:f>
        <x:v>0.01721170395869191</x:v>
      </x:c>
      <x:c r="I264" s="13" t="n">
        <x:f>(H264-G264)*100</x:f>
        <x:v>-0.12768861247006819</x:v>
      </x:c>
      <x:c r="J264" s="11" t="n">
        <x:f>Nguon!G265-Nguon!I265</x:f>
        <x:v>2742</x:v>
      </x:c>
      <x:c r="K264" s="12" t="n">
        <x:f>Nguon!N265/Nguon!K265</x:f>
        <x:v>0.029352311886871468</x:v>
      </x:c>
      <x:c r="L264" s="12" t="n">
        <x:f>Nguon!O265/Nguon!K265</x:f>
        <x:v>0.022803569649660183</x:v>
      </x:c>
      <x:c r="M264" s="2"/>
      <x:c r="N264" s="2"/>
      <x:c r="O264" s="2"/>
      <x:c r="P264" s="2"/>
      <x:c r="Q264" s="2"/>
      <x:c r="R264" s="2"/>
      <x:c r="S264" s="2"/>
      <x:c r="T264" s="2"/>
      <x:c r="U264" s="2"/>
    </x:row>
    <x:row r="265" ht="26" customHeight="1">
      <x:c r="A265" s="2" t="str">
        <x:v>E09000032</x:v>
      </x:c>
      <x:c r="B265" s="2" t="str">
        <x:v>Tiểu học</x:v>
      </x:c>
      <x:c r="C265" s="2" t="str">
        <x:v>Wandsworth</x:v>
      </x:c>
      <x:c r="D265" s="12" t="n">
        <x:f>Nguon!F266/Nguon!D266</x:f>
        <x:v>0.14619156135625994</x:v>
      </x:c>
      <x:c r="E265" s="12" t="n">
        <x:f>Nguon!G266/Nguon!E266</x:f>
        <x:v>0.1409759876065066</x:v>
      </x:c>
      <x:c r="F265" s="13" t="n">
        <x:f>(E265-D265)*100</x:f>
        <x:v>-0.5215573749753344</x:v>
      </x:c>
      <x:c r="G265" s="12" t="n">
        <x:f>Nguon!H266/Nguon!D266</x:f>
        <x:v>0.008562944548028452</x:v>
      </x:c>
      <x:c r="H265" s="12" t="n">
        <x:f>Nguon!I266/Nguon!E266</x:f>
        <x:v>0.009576790366875572</x:v>
      </x:c>
      <x:c r="I265" s="13" t="n">
        <x:f>(H265-G265)*100</x:f>
        <x:v>0.10138458188471197</x:v>
      </x:c>
      <x:c r="J265" s="11" t="n">
        <x:f>Nguon!G266-Nguon!I266</x:f>
        <x:v>1866</x:v>
      </x:c>
      <x:c r="K265" s="12" t="n">
        <x:f>Nguon!N266/Nguon!K266</x:f>
        <x:v>0.027671947263115268</x:v>
      </x:c>
      <x:c r="L265" s="12" t="n">
        <x:f>Nguon!O266/Nguon!K266</x:f>
        <x:v>0.007032619158818856</x:v>
      </x:c>
      <x:c r="M265" s="2"/>
      <x:c r="N265" s="2"/>
      <x:c r="O265" s="2"/>
      <x:c r="P265" s="2"/>
      <x:c r="Q265" s="2"/>
      <x:c r="R265" s="2"/>
      <x:c r="S265" s="2"/>
      <x:c r="T265" s="2"/>
      <x:c r="U265" s="2"/>
    </x:row>
    <x:row r="266" ht="26" customHeight="1">
      <x:c r="A266" s="2" t="str">
        <x:v>E09000032</x:v>
      </x:c>
      <x:c r="B266" s="2" t="str">
        <x:v>Trung học</x:v>
      </x:c>
      <x:c r="C266" s="2" t="str">
        <x:v>Wandsworth</x:v>
      </x:c>
      <x:c r="D266" s="12" t="n">
        <x:f>Nguon!F267/Nguon!D267</x:f>
        <x:v>0.170307026581496</x:v>
      </x:c>
      <x:c r="E266" s="12" t="n">
        <x:f>Nguon!G267/Nguon!E267</x:f>
        <x:v>0.16959850993377484</x:v>
      </x:c>
      <x:c r="F266" s="13" t="n">
        <x:f>(E266-D266)*100</x:f>
        <x:v>-0.07085166477211469</x:v>
      </x:c>
      <x:c r="G266" s="12" t="n">
        <x:f>Nguon!H267/Nguon!D267</x:f>
        <x:v>0.018957345971563982</x:v>
      </x:c>
      <x:c r="H266" s="12" t="n">
        <x:f>Nguon!I267/Nguon!E267</x:f>
        <x:v>0.020798841059602648</x:v>
      </x:c>
      <x:c r="I266" s="13" t="n">
        <x:f>(H266-G266)*100</x:f>
        <x:v>0.18414950880386652</x:v>
      </x:c>
      <x:c r="J266" s="11" t="n">
        <x:f>Nguon!G267-Nguon!I267</x:f>
        <x:v>1438</x:v>
      </x:c>
      <x:c r="K266" s="12" t="n">
        <x:f>Nguon!N267/Nguon!K267</x:f>
        <x:v>0.03138561171080784</x:v>
      </x:c>
      <x:c r="L266" s="12" t="n">
        <x:f>Nguon!O267/Nguon!K267</x:f>
        <x:v>0.01656049415547524</x:v>
      </x:c>
      <x:c r="M266" s="2"/>
      <x:c r="N266" s="2"/>
      <x:c r="O266" s="2"/>
      <x:c r="P266" s="2"/>
      <x:c r="Q266" s="2"/>
      <x:c r="R266" s="2"/>
      <x:c r="S266" s="2"/>
      <x:c r="T266" s="2"/>
      <x:c r="U266" s="2"/>
    </x:row>
    <x:row r="267" ht="26" customHeight="1">
      <x:c r="A267" s="2" t="str">
        <x:v>E09000033</x:v>
      </x:c>
      <x:c r="B267" s="2" t="str">
        <x:v>Tiểu học</x:v>
      </x:c>
      <x:c r="C267" s="2" t="str">
        <x:v>Westminster</x:v>
      </x:c>
      <x:c r="D267" s="12" t="n">
        <x:f>Nguon!F268/Nguon!D268</x:f>
        <x:v>0.18392434988179668</x:v>
      </x:c>
      <x:c r="E267" s="12" t="n">
        <x:f>Nguon!G268/Nguon!E268</x:f>
        <x:v>0.17880013481631277</x:v>
      </x:c>
      <x:c r="F267" s="13" t="n">
        <x:f>(E267-D267)*100</x:f>
        <x:v>-0.5124215065483911</x:v>
      </x:c>
      <x:c r="G267" s="12" t="n">
        <x:f>Nguon!H268/Nguon!D268</x:f>
        <x:v>0.014814814814814815</x:v>
      </x:c>
      <x:c r="H267" s="12" t="n">
        <x:f>Nguon!I268/Nguon!E268</x:f>
        <x:v>0.014998314796090328</x:v>
      </x:c>
      <x:c r="I267" s="13" t="n">
        <x:f>(H267-G267)*100</x:f>
        <x:v>0.01834999812755124</x:v>
      </x:c>
      <x:c r="J267" s="11" t="n">
        <x:f>Nguon!G268-Nguon!I268</x:f>
        <x:v>972</x:v>
      </x:c>
      <x:c r="K267" s="12" t="n">
        <x:f>Nguon!N268/Nguon!K268</x:f>
        <x:v>0.029559604204196104</x:v>
      </x:c>
      <x:c r="L267" s="12" t="n">
        <x:f>Nguon!O268/Nguon!K268</x:f>
        <x:v>0.011289181344278337</x:v>
      </x:c>
      <x:c r="M267" s="2"/>
      <x:c r="N267" s="2"/>
      <x:c r="O267" s="2"/>
      <x:c r="P267" s="2"/>
      <x:c r="Q267" s="2"/>
      <x:c r="R267" s="2"/>
      <x:c r="S267" s="2"/>
      <x:c r="T267" s="2"/>
      <x:c r="U267" s="2"/>
    </x:row>
    <x:row r="268" ht="26" customHeight="1">
      <x:c r="A268" s="2" t="str">
        <x:v>E09000033</x:v>
      </x:c>
      <x:c r="B268" s="2" t="str">
        <x:v>Trung học</x:v>
      </x:c>
      <x:c r="C268" s="2" t="str">
        <x:v>Westminster</x:v>
      </x:c>
      <x:c r="D268" s="12" t="n">
        <x:f>Nguon!F269/Nguon!D269</x:f>
        <x:v>0.19851063829787233</x:v>
      </x:c>
      <x:c r="E268" s="12" t="n">
        <x:f>Nguon!G269/Nguon!E269</x:f>
        <x:v>0.1875</x:v>
      </x:c>
      <x:c r="F268" s="13" t="n">
        <x:f>(E268-D268)*100</x:f>
        <x:v>-1.1010638297872326</x:v>
      </x:c>
      <x:c r="G268" s="12" t="n">
        <x:f>Nguon!H269/Nguon!D269</x:f>
        <x:v>0.020106382978723403</x:v>
      </x:c>
      <x:c r="H268" s="12" t="n">
        <x:f>Nguon!I269/Nguon!E269</x:f>
        <x:v>0.017006065857885614</x:v>
      </x:c>
      <x:c r="I268" s="13" t="n">
        <x:f>(H268-G268)*100</x:f>
        <x:v>-0.31003171208377894</x:v>
      </x:c>
      <x:c r="J268" s="11" t="n">
        <x:f>Nguon!G269-Nguon!I269</x:f>
        <x:v>1574</x:v>
      </x:c>
      <x:c r="K268" s="12" t="n">
        <x:f>Nguon!N269/Nguon!K269</x:f>
        <x:v>0.027918054643996715</x:v>
      </x:c>
      <x:c r="L268" s="12" t="n">
        <x:f>Nguon!O269/Nguon!K269</x:f>
        <x:v>0.018467838140172294</x:v>
      </x:c>
      <x:c r="M268" s="2"/>
      <x:c r="N268" s="2"/>
      <x:c r="O268" s="2"/>
      <x:c r="P268" s="2"/>
      <x:c r="Q268" s="2"/>
      <x:c r="R268" s="2"/>
      <x:c r="S268" s="2"/>
      <x:c r="T268" s="2"/>
      <x:c r="U268" s="2"/>
    </x:row>
    <x:row r="269" ht="26" customHeight="1">
      <x:c r="A269" s="2" t="str">
        <x:v>E10000003</x:v>
      </x:c>
      <x:c r="B269" s="2" t="str">
        <x:v>Tiểu học</x:v>
      </x:c>
      <x:c r="C269" s="2" t="str">
        <x:v>Cambridgeshire</x:v>
      </x:c>
      <x:c r="D269" s="12" t="n">
        <x:f>Nguon!F270/Nguon!D270</x:f>
        <x:v>0.12692099077924426</x:v>
      </x:c>
      <x:c r="E269" s="12" t="n">
        <x:f>Nguon!G270/Nguon!E270</x:f>
        <x:v>0.12460211283849242</x:v>
      </x:c>
      <x:c r="F269" s="13" t="n">
        <x:f>(E269-D269)*100</x:f>
        <x:v>-0.23188779407518484</x:v>
      </x:c>
      <x:c r="G269" s="12" t="n">
        <x:f>Nguon!H270/Nguon!D270</x:f>
        <x:v>0.009830952811426505</x:v>
      </x:c>
      <x:c r="H269" s="12" t="n">
        <x:f>Nguon!I270/Nguon!E270</x:f>
        <x:v>0.01326290538358629</x:v>
      </x:c>
      <x:c r="I269" s="13" t="n">
        <x:f>(H269-G269)*100</x:f>
        <x:v>0.3431952572159785</x:v>
      </x:c>
      <x:c r="J269" s="11" t="n">
        <x:f>Nguon!G270-Nguon!I270</x:f>
        <x:v>4827</x:v>
      </x:c>
      <x:c r="K269" s="12" t="n">
        <x:f>Nguon!N270/Nguon!K270</x:f>
        <x:v>0.028835518293576105</x:v>
      </x:c>
      <x:c r="L269" s="12" t="n">
        <x:f>Nguon!O270/Nguon!K270</x:f>
        <x:v>0.0041070134652230325</x:v>
      </x:c>
      <x:c r="M269" s="2"/>
      <x:c r="N269" s="2"/>
      <x:c r="O269" s="2"/>
      <x:c r="P269" s="2"/>
      <x:c r="Q269" s="2"/>
      <x:c r="R269" s="2"/>
      <x:c r="S269" s="2"/>
      <x:c r="T269" s="2"/>
      <x:c r="U269" s="2"/>
    </x:row>
    <x:row r="270" ht="26" customHeight="1">
      <x:c r="A270" s="2" t="str">
        <x:v>E10000003</x:v>
      </x:c>
      <x:c r="B270" s="2" t="str">
        <x:v>Trung học</x:v>
      </x:c>
      <x:c r="C270" s="2" t="str">
        <x:v>Cambridgeshire</x:v>
      </x:c>
      <x:c r="D270" s="12" t="n">
        <x:f>Nguon!F271/Nguon!D271</x:f>
        <x:v>0.1952677812411448</x:v>
      </x:c>
      <x:c r="E270" s="12" t="n">
        <x:f>Nguon!G271/Nguon!E271</x:f>
        <x:v>0.18740438551759306</x:v>
      </x:c>
      <x:c r="F270" s="13" t="n">
        <x:f>(E270-D270)*100</x:f>
        <x:v>-0.7863395723551742</x:v>
      </x:c>
      <x:c r="G270" s="12" t="n">
        <x:f>Nguon!H271/Nguon!D271</x:f>
        <x:v>0.0367526211391329</x:v>
      </x:c>
      <x:c r="H270" s="12" t="n">
        <x:f>Nguon!I271/Nguon!E271</x:f>
        <x:v>0.03552609212986572</x:v>
      </x:c>
      <x:c r="I270" s="13" t="n">
        <x:f>(H270-G270)*100</x:f>
        <x:v>-0.12265290092671813</x:v>
      </x:c>
      <x:c r="J270" s="11" t="n">
        <x:f>Nguon!G271-Nguon!I271</x:f>
        <x:v>5361</x:v>
      </x:c>
      <x:c r="K270" s="12" t="n">
        <x:f>Nguon!N271/Nguon!K271</x:f>
        <x:v>0.039293927199781975</x:v>
      </x:c>
      <x:c r="L270" s="12" t="n">
        <x:f>Nguon!O271/Nguon!K271</x:f>
        <x:v>0.015134957827406564</x:v>
      </x:c>
      <x:c r="M270" s="2"/>
      <x:c r="N270" s="2"/>
      <x:c r="O270" s="2"/>
      <x:c r="P270" s="2"/>
      <x:c r="Q270" s="2"/>
      <x:c r="R270" s="2"/>
      <x:c r="S270" s="2"/>
      <x:c r="T270" s="2"/>
      <x:c r="U270" s="2"/>
    </x:row>
    <x:row r="271" ht="26" customHeight="1">
      <x:c r="A271" s="2" t="str">
        <x:v>E10000007</x:v>
      </x:c>
      <x:c r="B271" s="2" t="str">
        <x:v>Tiểu học</x:v>
      </x:c>
      <x:c r="C271" s="2" t="str">
        <x:v>Derbyshire</x:v>
      </x:c>
      <x:c r="D271" s="12" t="n">
        <x:f>Nguon!F272/Nguon!D272</x:f>
        <x:v>0.13357697945741884</x:v>
      </x:c>
      <x:c r="E271" s="12" t="n">
        <x:f>Nguon!G272/Nguon!E272</x:f>
        <x:v>0.1460467021712413</x:v>
      </x:c>
      <x:c r="F271" s="13" t="n">
        <x:f>(E271-D271)*100</x:f>
        <x:v>1.2469722713822462</x:v>
      </x:c>
      <x:c r="G271" s="12" t="n">
        <x:f>Nguon!H272/Nguon!D272</x:f>
        <x:v>0.007590513865740276</x:v>
      </x:c>
      <x:c r="H271" s="12" t="n">
        <x:f>Nguon!I272/Nguon!E272</x:f>
        <x:v>0.008971732896353952</x:v>
      </x:c>
      <x:c r="I271" s="13" t="n">
        <x:f>(H271-G271)*100</x:f>
        <x:v>0.13812190306136768</x:v>
      </x:c>
      <x:c r="J271" s="11" t="n">
        <x:f>Nguon!G272-Nguon!I272</x:f>
        <x:v>6692</x:v>
      </x:c>
      <x:c r="K271" s="12" t="n">
        <x:f>Nguon!N272/Nguon!K272</x:f>
        <x:v>0.03082790625987192</x:v>
      </x:c>
      <x:c r="L271" s="12" t="n">
        <x:f>Nguon!O272/Nguon!K272</x:f>
        <x:v>0.0041040204947643865</x:v>
      </x:c>
      <x:c r="M271" s="2"/>
      <x:c r="N271" s="2"/>
      <x:c r="O271" s="2"/>
      <x:c r="P271" s="2"/>
      <x:c r="Q271" s="2"/>
      <x:c r="R271" s="2"/>
      <x:c r="S271" s="2"/>
      <x:c r="T271" s="2"/>
      <x:c r="U271" s="2"/>
    </x:row>
    <x:row r="272" ht="26" customHeight="1">
      <x:c r="A272" s="2" t="str">
        <x:v>E10000007</x:v>
      </x:c>
      <x:c r="B272" s="2" t="str">
        <x:v>Trung học</x:v>
      </x:c>
      <x:c r="C272" s="2" t="str">
        <x:v>Derbyshire</x:v>
      </x:c>
      <x:c r="D272" s="12" t="n">
        <x:f>Nguon!F273/Nguon!D273</x:f>
        <x:v>0.21034681525602844</x:v>
      </x:c>
      <x:c r="E272" s="12" t="n">
        <x:f>Nguon!G273/Nguon!E273</x:f>
        <x:v>0.22731563279037684</x:v>
      </x:c>
      <x:c r="F272" s="13" t="n">
        <x:f>(E272-D272)*100</x:f>
        <x:v>1.6968817534348397</x:v>
      </x:c>
      <x:c r="G272" s="12" t="n">
        <x:f>Nguon!H273/Nguon!D273</x:f>
        <x:v>0.03636276299356326</x:v>
      </x:c>
      <x:c r="H272" s="12" t="n">
        <x:f>Nguon!I273/Nguon!E273</x:f>
        <x:v>0.03267420190236464</x:v>
      </x:c>
      <x:c r="I272" s="13" t="n">
        <x:f>(H272-G272)*100</x:f>
        <x:v>-0.3688561091198618</x:v>
      </x:c>
      <x:c r="J272" s="11" t="n">
        <x:f>Nguon!G273-Nguon!I273</x:f>
        <x:v>8042</x:v>
      </x:c>
      <x:c r="K272" s="12" t="n">
        <x:f>Nguon!N273/Nguon!K273</x:f>
        <x:v>0.041230922286155304</x:v>
      </x:c>
      <x:c r="L272" s="12" t="n">
        <x:f>Nguon!O273/Nguon!K273</x:f>
        <x:v>0.020292956505896714</x:v>
      </x:c>
      <x:c r="M272" s="2"/>
      <x:c r="N272" s="2"/>
      <x:c r="O272" s="2"/>
      <x:c r="P272" s="2"/>
      <x:c r="Q272" s="2"/>
      <x:c r="R272" s="2"/>
      <x:c r="S272" s="2"/>
      <x:c r="T272" s="2"/>
      <x:c r="U272" s="2"/>
    </x:row>
    <x:row r="273" ht="26" customHeight="1">
      <x:c r="A273" s="2" t="str">
        <x:v>E10000008</x:v>
      </x:c>
      <x:c r="B273" s="2" t="str">
        <x:v>Tiểu học</x:v>
      </x:c>
      <x:c r="C273" s="2" t="str">
        <x:v>Devon</x:v>
      </x:c>
      <x:c r="D273" s="12" t="n">
        <x:f>Nguon!F274/Nguon!D274</x:f>
        <x:v>0.12457760272056133</x:v>
      </x:c>
      <x:c r="E273" s="12" t="n">
        <x:f>Nguon!G274/Nguon!E274</x:f>
        <x:v>0.12741465125967505</x:v>
      </x:c>
      <x:c r="F273" s="13" t="n">
        <x:f>(E273-D273)*100</x:f>
        <x:v>0.28370485391137207</x:v>
      </x:c>
      <x:c r="G273" s="12" t="n">
        <x:f>Nguon!H274/Nguon!D274</x:f>
        <x:v>0.008437183874647553</x:v>
      </x:c>
      <x:c r="H273" s="12" t="n">
        <x:f>Nguon!I274/Nguon!E274</x:f>
        <x:v>0.010480847238362533</x:v>
      </x:c>
      <x:c r="I273" s="13" t="n">
        <x:f>(H273-G273)*100</x:f>
        <x:v>0.20436633637149793</x:v>
      </x:c>
      <x:c r="J273" s="11" t="n">
        <x:f>Nguon!G274-Nguon!I274</x:f>
        <x:v>5333</x:v>
      </x:c>
      <x:c r="K273" s="12" t="n">
        <x:f>Nguon!N274/Nguon!K274</x:f>
        <x:v>0.030454928456996527</x:v>
      </x:c>
      <x:c r="L273" s="12" t="n">
        <x:f>Nguon!O274/Nguon!K274</x:f>
        <x:v>0.004331807647467712</x:v>
      </x:c>
      <x:c r="M273" s="2"/>
      <x:c r="N273" s="2"/>
      <x:c r="O273" s="2"/>
      <x:c r="P273" s="2"/>
      <x:c r="Q273" s="2"/>
      <x:c r="R273" s="2"/>
      <x:c r="S273" s="2"/>
      <x:c r="T273" s="2"/>
      <x:c r="U273" s="2"/>
    </x:row>
    <x:row r="274" ht="26" customHeight="1">
      <x:c r="A274" s="2" t="str">
        <x:v>E10000008</x:v>
      </x:c>
      <x:c r="B274" s="2" t="str">
        <x:v>Trung học</x:v>
      </x:c>
      <x:c r="C274" s="2" t="str">
        <x:v>Devon</x:v>
      </x:c>
      <x:c r="D274" s="12" t="n">
        <x:f>Nguon!F275/Nguon!D275</x:f>
        <x:v>0.24883440725024883</x:v>
      </x:c>
      <x:c r="E274" s="12" t="n">
        <x:f>Nguon!G275/Nguon!E275</x:f>
        <x:v>0.2476672675220019</x:v>
      </x:c>
      <x:c r="F274" s="13" t="n">
        <x:f>(E274-D274)*100</x:f>
        <x:v>-0.11671397282469187</x:v>
      </x:c>
      <x:c r="G274" s="12" t="n">
        <x:f>Nguon!H275/Nguon!D275</x:f>
        <x:v>0.048745350725548746</x:v>
      </x:c>
      <x:c r="H274" s="12" t="n">
        <x:f>Nguon!I275/Nguon!E275</x:f>
        <x:v>0.0438977839041459</x:v>
      </x:c>
      <x:c r="I274" s="13" t="n">
        <x:f>(H274-G274)*100</x:f>
        <x:v>-0.4847566821402846</x:v>
      </x:c>
      <x:c r="J274" s="11" t="n">
        <x:f>Nguon!G275-Nguon!I275</x:f>
        <x:v>7687</x:v>
      </x:c>
      <x:c r="K274" s="12" t="n">
        <x:f>Nguon!N275/Nguon!K275</x:f>
        <x:v>0.046910968595440784</x:v>
      </x:c>
      <x:c r="L274" s="12" t="n">
        <x:f>Nguon!O275/Nguon!K275</x:f>
        <x:v>0.023122495102263482</x:v>
      </x:c>
      <x:c r="M274" s="2"/>
      <x:c r="N274" s="2"/>
      <x:c r="O274" s="2"/>
      <x:c r="P274" s="2"/>
      <x:c r="Q274" s="2"/>
      <x:c r="R274" s="2"/>
      <x:c r="S274" s="2"/>
      <x:c r="T274" s="2"/>
      <x:c r="U274" s="2"/>
    </x:row>
    <x:row r="275" ht="26" customHeight="1">
      <x:c r="A275" s="2" t="str">
        <x:v>E10000011</x:v>
      </x:c>
      <x:c r="B275" s="2" t="str">
        <x:v>Tiểu học</x:v>
      </x:c>
      <x:c r="C275" s="2" t="str">
        <x:v>East Sussex</x:v>
      </x:c>
      <x:c r="D275" s="12" t="n">
        <x:f>Nguon!F276/Nguon!D276</x:f>
        <x:v>0.15486811481768814</x:v>
      </x:c>
      <x:c r="E275" s="12" t="n">
        <x:f>Nguon!G276/Nguon!E276</x:f>
        <x:v>0.16565023899785727</x:v>
      </x:c>
      <x:c r="F275" s="13" t="n">
        <x:f>(E275-D275)*100</x:f>
        <x:v>1.0782124180169133</x:v>
      </x:c>
      <x:c r="G275" s="12" t="n">
        <x:f>Nguon!H276/Nguon!D276</x:f>
        <x:v>0.00995603827256271</x:v>
      </x:c>
      <x:c r="H275" s="12" t="n">
        <x:f>Nguon!I276/Nguon!E276</x:f>
        <x:v>0.01381242788857755</x:v>
      </x:c>
      <x:c r="I275" s="13" t="n">
        <x:f>(H275-G275)*100</x:f>
        <x:v>0.385638961601484</x:v>
      </x:c>
      <x:c r="J275" s="11" t="n">
        <x:f>Nguon!G276-Nguon!I276</x:f>
        <x:v>4606</x:v>
      </x:c>
      <x:c r="K275" s="12" t="n">
        <x:f>Nguon!N276/Nguon!K276</x:f>
        <x:v>0.03314301225947947</x:v>
      </x:c>
      <x:c r="L275" s="12" t="n">
        <x:f>Nguon!O276/Nguon!K276</x:f>
        <x:v>0.007273964201573093</x:v>
      </x:c>
      <x:c r="M275" s="2"/>
      <x:c r="N275" s="2"/>
      <x:c r="O275" s="2"/>
      <x:c r="P275" s="2"/>
      <x:c r="Q275" s="2"/>
      <x:c r="R275" s="2"/>
      <x:c r="S275" s="2"/>
      <x:c r="T275" s="2"/>
      <x:c r="U275" s="2"/>
    </x:row>
    <x:row r="276" ht="26" customHeight="1">
      <x:c r="A276" s="2" t="str">
        <x:v>E10000011</x:v>
      </x:c>
      <x:c r="B276" s="2" t="str">
        <x:v>Trung học</x:v>
      </x:c>
      <x:c r="C276" s="2" t="str">
        <x:v>East Sussex</x:v>
      </x:c>
      <x:c r="D276" s="12" t="n">
        <x:f>Nguon!F277/Nguon!D277</x:f>
        <x:v>0.24423187159644597</x:v>
      </x:c>
      <x:c r="E276" s="12" t="n">
        <x:f>Nguon!G277/Nguon!E277</x:f>
        <x:v>0.2416313827669815</x:v>
      </x:c>
      <x:c r="F276" s="13" t="n">
        <x:f>(E276-D276)*100</x:f>
        <x:v>-0.26004888294644535</x:v>
      </x:c>
      <x:c r="G276" s="12" t="n">
        <x:f>Nguon!H277/Nguon!D277</x:f>
        <x:v>0.04005445686443107</x:v>
      </x:c>
      <x:c r="H276" s="12" t="n">
        <x:f>Nguon!I277/Nguon!E277</x:f>
        <x:v>0.03684001013281222</x:v>
      </x:c>
      <x:c r="I276" s="13" t="n">
        <x:f>(H276-G276)*100</x:f>
        <x:v>-0.3214446731618852</x:v>
      </x:c>
      <x:c r="J276" s="11" t="n">
        <x:f>Nguon!G277-Nguon!I277</x:f>
        <x:v>5659</x:v>
      </x:c>
      <x:c r="K276" s="12" t="n">
        <x:f>Nguon!N277/Nguon!K277</x:f>
        <x:v>0.0433126038698235</x:v>
      </x:c>
      <x:c r="L276" s="12" t="n">
        <x:f>Nguon!O277/Nguon!K277</x:f>
        <x:v>0.02466795369502822</x:v>
      </x:c>
      <x:c r="M276" s="2"/>
      <x:c r="N276" s="2"/>
      <x:c r="O276" s="2"/>
      <x:c r="P276" s="2"/>
      <x:c r="Q276" s="2"/>
      <x:c r="R276" s="2"/>
      <x:c r="S276" s="2"/>
      <x:c r="T276" s="2"/>
      <x:c r="U276" s="2"/>
    </x:row>
    <x:row r="277" ht="26" customHeight="1">
      <x:c r="A277" s="2" t="str">
        <x:v>E10000012</x:v>
      </x:c>
      <x:c r="B277" s="2" t="str">
        <x:v>Tiểu học</x:v>
      </x:c>
      <x:c r="C277" s="2" t="str">
        <x:v>Essex</x:v>
      </x:c>
      <x:c r="D277" s="12" t="n">
        <x:f>Nguon!F278/Nguon!D278</x:f>
        <x:v>0.14332491525911983</x:v>
      </x:c>
      <x:c r="E277" s="12" t="n">
        <x:f>Nguon!G278/Nguon!E278</x:f>
        <x:v>0.14061972591642477</x:v>
      </x:c>
      <x:c r="F277" s="13" t="n">
        <x:f>(E277-D277)*100</x:f>
        <x:v>-0.27051893426950635</x:v>
      </x:c>
      <x:c r="G277" s="12" t="n">
        <x:f>Nguon!H278/Nguon!D278</x:f>
        <x:v>0.00907423589172372</x:v>
      </x:c>
      <x:c r="H277" s="12" t="n">
        <x:f>Nguon!I278/Nguon!E278</x:f>
        <x:v>0.01145711778264266</x:v>
      </x:c>
      <x:c r="I277" s="13" t="n">
        <x:f>(H277-G277)*100</x:f>
        <x:v>0.23828818909189392</x:v>
      </x:c>
      <x:c r="J277" s="11" t="n">
        <x:f>Nguon!G278-Nguon!I278</x:f>
        <x:v>13393</x:v>
      </x:c>
      <x:c r="K277" s="12" t="n">
        <x:f>Nguon!N278/Nguon!K278</x:f>
        <x:v>0.02922416897045382</x:v>
      </x:c>
      <x:c r="L277" s="12" t="n">
        <x:f>Nguon!O278/Nguon!K278</x:f>
        <x:v>0.006666396612314123</x:v>
      </x:c>
      <x:c r="M277" s="2"/>
      <x:c r="N277" s="2"/>
      <x:c r="O277" s="2"/>
      <x:c r="P277" s="2"/>
      <x:c r="Q277" s="2"/>
      <x:c r="R277" s="2"/>
      <x:c r="S277" s="2"/>
      <x:c r="T277" s="2"/>
      <x:c r="U277" s="2"/>
    </x:row>
    <x:row r="278" ht="26" customHeight="1">
      <x:c r="A278" s="2" t="str">
        <x:v>E10000012</x:v>
      </x:c>
      <x:c r="B278" s="2" t="str">
        <x:v>Trung học</x:v>
      </x:c>
      <x:c r="C278" s="2" t="str">
        <x:v>Essex</x:v>
      </x:c>
      <x:c r="D278" s="12" t="n">
        <x:f>Nguon!F279/Nguon!D279</x:f>
        <x:v>0.21530030586708684</x:v>
      </x:c>
      <x:c r="E278" s="12" t="n">
        <x:f>Nguon!G279/Nguon!E279</x:f>
        <x:v>0.21143015739016802</x:v>
      </x:c>
      <x:c r="F278" s="13" t="n">
        <x:f>(E278-D278)*100</x:f>
        <x:v>-0.38701484769188277</x:v>
      </x:c>
      <x:c r="G278" s="12" t="n">
        <x:f>Nguon!H279/Nguon!D279</x:f>
        <x:v>0.03513995736398183</x:v>
      </x:c>
      <x:c r="H278" s="12" t="n">
        <x:f>Nguon!I279/Nguon!E279</x:f>
        <x:v>0.035375203820845816</x:v>
      </x:c>
      <x:c r="I278" s="13" t="n">
        <x:f>(H278-G278)*100</x:f>
        <x:v>0.02352464568639856</x:v>
      </x:c>
      <x:c r="J278" s="11" t="n">
        <x:f>Nguon!G279-Nguon!I279</x:f>
        <x:v>15224</x:v>
      </x:c>
      <x:c r="K278" s="12" t="n">
        <x:f>Nguon!N279/Nguon!K279</x:f>
        <x:v>0.0341937820081734</x:v>
      </x:c>
      <x:c r="L278" s="12" t="n">
        <x:f>Nguon!O279/Nguon!K279</x:f>
        <x:v>0.025076217229484138</x:v>
      </x:c>
      <x:c r="M278" s="2"/>
      <x:c r="N278" s="2"/>
      <x:c r="O278" s="2"/>
      <x:c r="P278" s="2"/>
      <x:c r="Q278" s="2"/>
      <x:c r="R278" s="2"/>
      <x:c r="S278" s="2"/>
      <x:c r="T278" s="2"/>
      <x:c r="U278" s="2"/>
    </x:row>
    <x:row r="279" ht="26" customHeight="1">
      <x:c r="A279" s="2" t="str">
        <x:v>E10000013</x:v>
      </x:c>
      <x:c r="B279" s="2" t="str">
        <x:v>Tiểu học</x:v>
      </x:c>
      <x:c r="C279" s="2" t="str">
        <x:v>Gloucestershire</x:v>
      </x:c>
      <x:c r="D279" s="12" t="n">
        <x:f>Nguon!F280/Nguon!D280</x:f>
        <x:v>0.13313887616614034</x:v>
      </x:c>
      <x:c r="E279" s="12" t="n">
        <x:f>Nguon!G280/Nguon!E280</x:f>
        <x:v>0.12595213524006094</x:v>
      </x:c>
      <x:c r="F279" s="13" t="n">
        <x:f>(E279-D279)*100</x:f>
        <x:v>-0.7186740926079405</x:v>
      </x:c>
      <x:c r="G279" s="12" t="n">
        <x:f>Nguon!H280/Nguon!D280</x:f>
        <x:v>0.0088469975652677</x:v>
      </x:c>
      <x:c r="H279" s="12" t="n">
        <x:f>Nguon!I280/Nguon!E280</x:f>
        <x:v>0.009877635264632168</x:v>
      </x:c>
      <x:c r="I279" s="13" t="n">
        <x:f>(H279-G279)*100</x:f>
        <x:v>0.10306376993644684</x:v>
      </x:c>
      <x:c r="J279" s="11" t="n">
        <x:f>Nguon!G280-Nguon!I280</x:f>
        <x:v>4724</x:v>
      </x:c>
      <x:c r="K279" s="12" t="n">
        <x:f>Nguon!N280/Nguon!K280</x:f>
        <x:v>0.028819239486012792</x:v>
      </x:c>
      <x:c r="L279" s="12" t="n">
        <x:f>Nguon!O280/Nguon!K280</x:f>
        <x:v>0.0036776461117568357</x:v>
      </x:c>
      <x:c r="M279" s="2"/>
      <x:c r="N279" s="2"/>
      <x:c r="O279" s="2"/>
      <x:c r="P279" s="2"/>
      <x:c r="Q279" s="2"/>
      <x:c r="R279" s="2"/>
      <x:c r="S279" s="2"/>
      <x:c r="T279" s="2"/>
      <x:c r="U279" s="2"/>
    </x:row>
    <x:row r="280" ht="26" customHeight="1">
      <x:c r="A280" s="2" t="str">
        <x:v>E10000013</x:v>
      </x:c>
      <x:c r="B280" s="2" t="str">
        <x:v>Trung học</x:v>
      </x:c>
      <x:c r="C280" s="2" t="str">
        <x:v>Gloucestershire</x:v>
      </x:c>
      <x:c r="D280" s="12" t="n">
        <x:f>Nguon!F281/Nguon!D281</x:f>
        <x:v>0.20867027258608686</x:v>
      </x:c>
      <x:c r="E280" s="12" t="n">
        <x:f>Nguon!G281/Nguon!E281</x:f>
        <x:v>0.2137321513880779</x:v>
      </x:c>
      <x:c r="F280" s="13" t="n">
        <x:f>(E280-D280)*100</x:f>
        <x:v>0.5061878801991049</x:v>
      </x:c>
      <x:c r="G280" s="12" t="n">
        <x:f>Nguon!H281/Nguon!D281</x:f>
        <x:v>0.03049858083864403</x:v>
      </x:c>
      <x:c r="H280" s="12" t="n">
        <x:f>Nguon!I281/Nguon!E281</x:f>
        <x:v>0.030946440893890335</x:v>
      </x:c>
      <x:c r="I280" s="13" t="n">
        <x:f>(H280-G280)*100</x:f>
        <x:v>0.04478600552463054</x:v>
      </x:c>
      <x:c r="J280" s="11" t="n">
        <x:f>Nguon!G281-Nguon!I281</x:f>
        <x:v>6887</x:v>
      </x:c>
      <x:c r="K280" s="12" t="n">
        <x:f>Nguon!N281/Nguon!K281</x:f>
        <x:v>0.046568441876393384</x:v>
      </x:c>
      <x:c r="L280" s="12" t="n">
        <x:f>Nguon!O281/Nguon!K281</x:f>
        <x:v>0.013467680297652601</x:v>
      </x:c>
      <x:c r="M280" s="2"/>
      <x:c r="N280" s="2"/>
      <x:c r="O280" s="2"/>
      <x:c r="P280" s="2"/>
      <x:c r="Q280" s="2"/>
      <x:c r="R280" s="2"/>
      <x:c r="S280" s="2"/>
      <x:c r="T280" s="2"/>
      <x:c r="U280" s="2"/>
    </x:row>
    <x:row r="281" ht="26" customHeight="1">
      <x:c r="A281" s="2" t="str">
        <x:v>E10000014</x:v>
      </x:c>
      <x:c r="B281" s="2" t="str">
        <x:v>Tiểu học</x:v>
      </x:c>
      <x:c r="C281" s="2" t="str">
        <x:v>Hampshire</x:v>
      </x:c>
      <x:c r="D281" s="12" t="n">
        <x:f>Nguon!F282/Nguon!D282</x:f>
        <x:v>0.11581200372621213</x:v>
      </x:c>
      <x:c r="E281" s="12" t="n">
        <x:f>Nguon!G282/Nguon!E282</x:f>
        <x:v>0.11207782962904374</x:v>
      </x:c>
      <x:c r="F281" s="13" t="n">
        <x:f>(E281-D281)*100</x:f>
        <x:v>-0.3734174097168391</x:v>
      </x:c>
      <x:c r="G281" s="12" t="n">
        <x:f>Nguon!H282/Nguon!D282</x:f>
        <x:v>0.0076742225968149756</x:v>
      </x:c>
      <x:c r="H281" s="12" t="n">
        <x:f>Nguon!I282/Nguon!E282</x:f>
        <x:v>0.008689167354041197</x:v>
      </x:c>
      <x:c r="I281" s="13" t="n">
        <x:f>(H281-G281)*100</x:f>
        <x:v>0.10149447572262213</x:v>
      </x:c>
      <x:c r="J281" s="11" t="n">
        <x:f>Nguon!G282-Nguon!I282</x:f>
        <x:v>9150</x:v>
      </x:c>
      <x:c r="K281" s="12" t="n">
        <x:f>Nguon!N282/Nguon!K282</x:f>
        <x:v>0.026944696120133137</x:v>
      </x:c>
      <x:c r="L281" s="12" t="n">
        <x:f>Nguon!O282/Nguon!K282</x:f>
        <x:v>0.003414367692538021</x:v>
      </x:c>
      <x:c r="M281" s="2"/>
      <x:c r="N281" s="2"/>
      <x:c r="O281" s="2"/>
      <x:c r="P281" s="2"/>
      <x:c r="Q281" s="2"/>
      <x:c r="R281" s="2"/>
      <x:c r="S281" s="2"/>
      <x:c r="T281" s="2"/>
      <x:c r="U281" s="2"/>
    </x:row>
    <x:row r="282" ht="26" customHeight="1">
      <x:c r="A282" s="2" t="str">
        <x:v>E10000014</x:v>
      </x:c>
      <x:c r="B282" s="2" t="str">
        <x:v>Trung học</x:v>
      </x:c>
      <x:c r="C282" s="2" t="str">
        <x:v>Hampshire</x:v>
      </x:c>
      <x:c r="D282" s="12" t="n">
        <x:f>Nguon!F283/Nguon!D283</x:f>
        <x:v>0.20602375754978505</x:v>
      </x:c>
      <x:c r="E282" s="12" t="n">
        <x:f>Nguon!G283/Nguon!E283</x:f>
        <x:v>0.21267418266840457</x:v>
      </x:c>
      <x:c r="F282" s="13" t="n">
        <x:f>(E282-D282)*100</x:f>
        <x:v>0.6650425118619518</x:v>
      </x:c>
      <x:c r="G282" s="12" t="n">
        <x:f>Nguon!H283/Nguon!D283</x:f>
        <x:v>0.03524795435979162</x:v>
      </x:c>
      <x:c r="H282" s="12" t="n">
        <x:f>Nguon!I283/Nguon!E283</x:f>
        <x:v>0.035488248968677354</x:v>
      </x:c>
      <x:c r="I282" s="13" t="n">
        <x:f>(H282-G282)*100</x:f>
        <x:v>0.02402946088857355</x:v>
      </x:c>
      <x:c r="J282" s="11" t="n">
        <x:f>Nguon!G283-Nguon!I283</x:f>
        <x:v>13186</x:v>
      </x:c>
      <x:c r="K282" s="12" t="n">
        <x:f>Nguon!N283/Nguon!K283</x:f>
        <x:v>0.041985227290945414</x:v>
      </x:c>
      <x:c r="L282" s="12" t="n">
        <x:f>Nguon!O283/Nguon!K283</x:f>
        <x:v>0.015939955610376245</x:v>
      </x:c>
      <x:c r="M282" s="2"/>
      <x:c r="N282" s="2"/>
      <x:c r="O282" s="2"/>
      <x:c r="P282" s="2"/>
      <x:c r="Q282" s="2"/>
      <x:c r="R282" s="2"/>
      <x:c r="S282" s="2"/>
      <x:c r="T282" s="2"/>
      <x:c r="U282" s="2"/>
    </x:row>
    <x:row r="283" ht="26" customHeight="1">
      <x:c r="A283" s="2" t="str">
        <x:v>E10000015</x:v>
      </x:c>
      <x:c r="B283" s="2" t="str">
        <x:v>Tiểu học</x:v>
      </x:c>
      <x:c r="C283" s="2" t="str">
        <x:v>Hertfordshire</x:v>
      </x:c>
      <x:c r="D283" s="12" t="n">
        <x:f>Nguon!F284/Nguon!D284</x:f>
        <x:v>0.12741983461241002</x:v>
      </x:c>
      <x:c r="E283" s="12" t="n">
        <x:f>Nguon!G284/Nguon!E284</x:f>
        <x:v>0.12856626941133983</x:v>
      </x:c>
      <x:c r="F283" s="13" t="n">
        <x:f>(E283-D283)*100</x:f>
        <x:v>0.11464347989298129</x:v>
      </x:c>
      <x:c r="G283" s="12" t="n">
        <x:f>Nguon!H284/Nguon!D284</x:f>
        <x:v>0.008543042417752394</x:v>
      </x:c>
      <x:c r="H283" s="12" t="n">
        <x:f>Nguon!I284/Nguon!E284</x:f>
        <x:v>0.010160105934753822</x:v>
      </x:c>
      <x:c r="I283" s="13" t="n">
        <x:f>(H283-G283)*100</x:f>
        <x:v>0.1617063517001428</x:v>
      </x:c>
      <x:c r="J283" s="11" t="n">
        <x:f>Nguon!G284-Nguon!I284</x:f>
        <x:v>9836</x:v>
      </x:c>
      <x:c r="K283" s="12" t="n">
        <x:f>Nguon!N284/Nguon!K284</x:f>
        <x:v>0.028308323273485963</x:v>
      </x:c>
      <x:c r="L283" s="12" t="n">
        <x:f>Nguon!O284/Nguon!K284</x:f>
        <x:v>0.004502595789517756</x:v>
      </x:c>
      <x:c r="M283" s="2"/>
      <x:c r="N283" s="2"/>
      <x:c r="O283" s="2"/>
      <x:c r="P283" s="2"/>
      <x:c r="Q283" s="2"/>
      <x:c r="R283" s="2"/>
      <x:c r="S283" s="2"/>
      <x:c r="T283" s="2"/>
      <x:c r="U283" s="2"/>
    </x:row>
    <x:row r="284" ht="26" customHeight="1">
      <x:c r="A284" s="2" t="str">
        <x:v>E10000015</x:v>
      </x:c>
      <x:c r="B284" s="2" t="str">
        <x:v>Trung học</x:v>
      </x:c>
      <x:c r="C284" s="2" t="str">
        <x:v>Hertfordshire</x:v>
      </x:c>
      <x:c r="D284" s="12" t="n">
        <x:f>Nguon!F285/Nguon!D285</x:f>
        <x:v>0.18648875136981885</x:v>
      </x:c>
      <x:c r="E284" s="12" t="n">
        <x:f>Nguon!G285/Nguon!E285</x:f>
        <x:v>0.18899555441015398</x:v>
      </x:c>
      <x:c r="F284" s="13" t="n">
        <x:f>(E284-D284)*100</x:f>
        <x:v>0.2506803040335126</x:v>
      </x:c>
      <x:c r="G284" s="12" t="n">
        <x:f>Nguon!H285/Nguon!D285</x:f>
        <x:v>0.025256236704699283</x:v>
      </x:c>
      <x:c r="H284" s="12" t="n">
        <x:f>Nguon!I285/Nguon!E285</x:f>
        <x:v>0.026325623349011017</x:v>
      </x:c>
      <x:c r="I284" s="13" t="n">
        <x:f>(H284-G284)*100</x:f>
        <x:v>0.10693866443117345</x:v>
      </x:c>
      <x:c r="J284" s="11" t="n">
        <x:f>Nguon!G285-Nguon!I285</x:f>
        <x:v>12624</x:v>
      </x:c>
      <x:c r="K284" s="12" t="n">
        <x:f>Nguon!N285/Nguon!K285</x:f>
        <x:v>0.03882263582500582</x:v>
      </x:c>
      <x:c r="L284" s="12" t="n">
        <x:f>Nguon!O285/Nguon!K285</x:f>
        <x:v>0.013991687408896168</x:v>
      </x:c>
      <x:c r="M284" s="2"/>
      <x:c r="N284" s="2"/>
      <x:c r="O284" s="2"/>
      <x:c r="P284" s="2"/>
      <x:c r="Q284" s="2"/>
      <x:c r="R284" s="2"/>
      <x:c r="S284" s="2"/>
      <x:c r="T284" s="2"/>
      <x:c r="U284" s="2"/>
    </x:row>
    <x:row r="285" ht="26" customHeight="1">
      <x:c r="A285" s="2" t="str">
        <x:v>E10000016</x:v>
      </x:c>
      <x:c r="B285" s="2" t="str">
        <x:v>Tiểu học</x:v>
      </x:c>
      <x:c r="C285" s="2" t="str">
        <x:v>Kent</x:v>
      </x:c>
      <x:c r="D285" s="12" t="n">
        <x:f>Nguon!F286/Nguon!D286</x:f>
        <x:v>0.16133105282481575</x:v>
      </x:c>
      <x:c r="E285" s="12" t="n">
        <x:f>Nguon!G286/Nguon!E286</x:f>
        <x:v>0.1520029680303318</x:v>
      </x:c>
      <x:c r="F285" s="13" t="n">
        <x:f>(E285-D285)*100</x:f>
        <x:v>-0.9328084794483937</x:v>
      </x:c>
      <x:c r="G285" s="12" t="n">
        <x:f>Nguon!H286/Nguon!D286</x:f>
        <x:v>0.010092145677928916</x:v>
      </x:c>
      <x:c r="H285" s="12" t="n">
        <x:f>Nguon!I286/Nguon!E286</x:f>
        <x:v>0.010849598682484097</x:v>
      </x:c>
      <x:c r="I285" s="13" t="n">
        <x:f>(H285-G285)*100</x:f>
        <x:v>0.07574530045551808</x:v>
      </x:c>
      <x:c r="J285" s="11" t="n">
        <x:f>Nguon!G286-Nguon!I286</x:f>
        <x:v>15599</x:v>
      </x:c>
      <x:c r="K285" s="12" t="n">
        <x:f>Nguon!N286/Nguon!K286</x:f>
        <x:v>0.02955286936690785</x:v>
      </x:c>
      <x:c r="L285" s="12" t="n">
        <x:f>Nguon!O286/Nguon!K286</x:f>
        <x:v>0.007680181282047256</x:v>
      </x:c>
      <x:c r="M285" s="2"/>
      <x:c r="N285" s="2"/>
      <x:c r="O285" s="2"/>
      <x:c r="P285" s="2"/>
      <x:c r="Q285" s="2"/>
      <x:c r="R285" s="2"/>
      <x:c r="S285" s="2"/>
      <x:c r="T285" s="2"/>
      <x:c r="U285" s="2"/>
    </x:row>
    <x:row r="286" ht="26" customHeight="1">
      <x:c r="A286" s="2" t="str">
        <x:v>E10000016</x:v>
      </x:c>
      <x:c r="B286" s="2" t="str">
        <x:v>Trung học</x:v>
      </x:c>
      <x:c r="C286" s="2" t="str">
        <x:v>Kent</x:v>
      </x:c>
      <x:c r="D286" s="12" t="n">
        <x:f>Nguon!F287/Nguon!D287</x:f>
        <x:v>0.21868822440019145</x:v>
      </x:c>
      <x:c r="E286" s="12" t="n">
        <x:f>Nguon!G287/Nguon!E287</x:f>
        <x:v>0.2189998334443704</x:v>
      </x:c>
      <x:c r="F286" s="13" t="n">
        <x:f>(E286-D286)*100</x:f>
        <x:v>0.031160904417895652</x:v>
      </x:c>
      <x:c r="G286" s="12" t="n">
        <x:f>Nguon!H287/Nguon!D287</x:f>
        <x:v>0.029319349938614563</x:v>
      </x:c>
      <x:c r="H286" s="12" t="n">
        <x:f>Nguon!I287/Nguon!E287</x:f>
        <x:v>0.02735676215856096</x:v>
      </x:c>
      <x:c r="I286" s="13" t="n">
        <x:f>(H286-G286)*100</x:f>
        <x:v>-0.19625877800536035</x:v>
      </x:c>
      <x:c r="J286" s="11" t="n">
        <x:f>Nguon!G287-Nguon!I287</x:f>
        <x:v>18410</x:v>
      </x:c>
      <x:c r="K286" s="12" t="n">
        <x:f>Nguon!N287/Nguon!K287</x:f>
        <x:v>0.039413414006042286</x:v>
      </x:c>
      <x:c r="L286" s="12" t="n">
        <x:f>Nguon!O287/Nguon!K287</x:f>
        <x:v>0.01982072908315227</x:v>
      </x:c>
      <x:c r="M286" s="2"/>
      <x:c r="N286" s="2"/>
      <x:c r="O286" s="2"/>
      <x:c r="P286" s="2"/>
      <x:c r="Q286" s="2"/>
      <x:c r="R286" s="2"/>
      <x:c r="S286" s="2"/>
      <x:c r="T286" s="2"/>
      <x:c r="U286" s="2"/>
    </x:row>
    <x:row r="287" ht="26" customHeight="1">
      <x:c r="A287" s="2" t="str">
        <x:v>E10000017</x:v>
      </x:c>
      <x:c r="B287" s="2" t="str">
        <x:v>Tiểu học</x:v>
      </x:c>
      <x:c r="C287" s="2" t="str">
        <x:v>Lancashire</x:v>
      </x:c>
      <x:c r="D287" s="12" t="n">
        <x:f>Nguon!F288/Nguon!D288</x:f>
        <x:v>0.13259406128676077</x:v>
      </x:c>
      <x:c r="E287" s="12" t="n">
        <x:f>Nguon!G288/Nguon!E288</x:f>
        <x:v>0.14518226031684886</x:v>
      </x:c>
      <x:c r="F287" s="13" t="n">
        <x:f>(E287-D287)*100</x:f>
        <x:v>1.2588199030088094</x:v>
      </x:c>
      <x:c r="G287" s="12" t="n">
        <x:f>Nguon!H288/Nguon!D288</x:f>
        <x:v>0.007562895508566137</x:v>
      </x:c>
      <x:c r="H287" s="12" t="n">
        <x:f>Nguon!I288/Nguon!E288</x:f>
        <x:v>0.009751047334713728</x:v>
      </x:c>
      <x:c r="I287" s="13" t="n">
        <x:f>(H287-G287)*100</x:f>
        <x:v>0.21881518261475907</x:v>
      </x:c>
      <x:c r="J287" s="11" t="n">
        <x:f>Nguon!G288-Nguon!I288</x:f>
        <x:v>11250</x:v>
      </x:c>
      <x:c r="K287" s="12" t="n">
        <x:f>Nguon!N288/Nguon!K288</x:f>
        <x:v>0.030113316215828072</x:v>
      </x:c>
      <x:c r="L287" s="12" t="n">
        <x:f>Nguon!O288/Nguon!K288</x:f>
        <x:v>0.004819605638796506</x:v>
      </x:c>
      <x:c r="M287" s="2"/>
      <x:c r="N287" s="2"/>
      <x:c r="O287" s="2"/>
      <x:c r="P287" s="2"/>
      <x:c r="Q287" s="2"/>
      <x:c r="R287" s="2"/>
      <x:c r="S287" s="2"/>
      <x:c r="T287" s="2"/>
      <x:c r="U287" s="2"/>
    </x:row>
    <x:row r="288" ht="26" customHeight="1">
      <x:c r="A288" s="2" t="str">
        <x:v>E10000017</x:v>
      </x:c>
      <x:c r="B288" s="2" t="str">
        <x:v>Trung học</x:v>
      </x:c>
      <x:c r="C288" s="2" t="str">
        <x:v>Lancashire</x:v>
      </x:c>
      <x:c r="D288" s="12" t="n">
        <x:f>Nguon!F289/Nguon!D289</x:f>
        <x:v>0.2062211167483995</x:v>
      </x:c>
      <x:c r="E288" s="12" t="n">
        <x:f>Nguon!G289/Nguon!E289</x:f>
        <x:v>0.22108137319036378</x:v>
      </x:c>
      <x:c r="F288" s="13" t="n">
        <x:f>(E288-D288)*100</x:f>
        <x:v>1.4860256441964288</x:v>
      </x:c>
      <x:c r="G288" s="12" t="n">
        <x:f>Nguon!H289/Nguon!D289</x:f>
        <x:v>0.03191113497929592</x:v>
      </x:c>
      <x:c r="H288" s="12" t="n">
        <x:f>Nguon!I289/Nguon!E289</x:f>
        <x:v>0.03097357717796297</x:v>
      </x:c>
      <x:c r="I288" s="13" t="n">
        <x:f>(H288-G288)*100</x:f>
        <x:v>-0.09375578013329534</x:v>
      </x:c>
      <x:c r="J288" s="11" t="n">
        <x:f>Nguon!G289-Nguon!I289</x:f>
        <x:v>13368</x:v>
      </x:c>
      <x:c r="K288" s="12" t="n">
        <x:f>Nguon!N289/Nguon!K289</x:f>
        <x:v>0.04336661923189933</x:v>
      </x:c>
      <x:c r="L288" s="12" t="n">
        <x:f>Nguon!O289/Nguon!K289</x:f>
        <x:v>0.01673874997731573</x:v>
      </x:c>
      <x:c r="M288" s="2"/>
      <x:c r="N288" s="2"/>
      <x:c r="O288" s="2"/>
      <x:c r="P288" s="2"/>
      <x:c r="Q288" s="2"/>
      <x:c r="R288" s="2"/>
      <x:c r="S288" s="2"/>
      <x:c r="T288" s="2"/>
      <x:c r="U288" s="2"/>
    </x:row>
    <x:row r="289" ht="26" customHeight="1">
      <x:c r="A289" s="2" t="str">
        <x:v>E10000018</x:v>
      </x:c>
      <x:c r="B289" s="2" t="str">
        <x:v>Tiểu học</x:v>
      </x:c>
      <x:c r="C289" s="2" t="str">
        <x:v>Leicestershire</x:v>
      </x:c>
      <x:c r="D289" s="12" t="n">
        <x:f>Nguon!F290/Nguon!D290</x:f>
        <x:v>0.12232345285078512</x:v>
      </x:c>
      <x:c r="E289" s="12" t="n">
        <x:f>Nguon!G290/Nguon!E290</x:f>
        <x:v>0.1120396031225539</x:v>
      </x:c>
      <x:c r="F289" s="13" t="n">
        <x:f>(E289-D289)*100</x:f>
        <x:v>-1.0283849728231222</x:v>
      </x:c>
      <x:c r="G289" s="12" t="n">
        <x:f>Nguon!H290/Nguon!D290</x:f>
        <x:v>0.006528675791418255</x:v>
      </x:c>
      <x:c r="H289" s="12" t="n">
        <x:f>Nguon!I290/Nguon!E290</x:f>
        <x:v>0.00861029427320231</x:v>
      </x:c>
      <x:c r="I289" s="13" t="n">
        <x:f>(H289-G289)*100</x:f>
        <x:v>0.20816184817840558</x:v>
      </x:c>
      <x:c r="J289" s="11" t="n">
        <x:f>Nguon!G290-Nguon!I290</x:f>
        <x:v>4889</x:v>
      </x:c>
      <x:c r="K289" s="12" t="n">
        <x:f>Nguon!N290/Nguon!K290</x:f>
        <x:v>0.0283265440837506</x:v>
      </x:c>
      <x:c r="L289" s="12" t="n">
        <x:f>Nguon!O290/Nguon!K290</x:f>
        <x:v>0.0043139527842897514</x:v>
      </x:c>
      <x:c r="M289" s="2"/>
      <x:c r="N289" s="2"/>
      <x:c r="O289" s="2"/>
      <x:c r="P289" s="2"/>
      <x:c r="Q289" s="2"/>
      <x:c r="R289" s="2"/>
      <x:c r="S289" s="2"/>
      <x:c r="T289" s="2"/>
      <x:c r="U289" s="2"/>
    </x:row>
    <x:row r="290" ht="26" customHeight="1">
      <x:c r="A290" s="2" t="str">
        <x:v>E10000018</x:v>
      </x:c>
      <x:c r="B290" s="2" t="str">
        <x:v>Trung học</x:v>
      </x:c>
      <x:c r="C290" s="2" t="str">
        <x:v>Leicestershire</x:v>
      </x:c>
      <x:c r="D290" s="12" t="n">
        <x:f>Nguon!F291/Nguon!D291</x:f>
        <x:v>0.20244946141360484</x:v>
      </x:c>
      <x:c r="E290" s="12" t="n">
        <x:f>Nguon!G291/Nguon!E291</x:f>
        <x:v>0.20434161245811158</x:v>
      </x:c>
      <x:c r="F290" s="13" t="n">
        <x:f>(E290-D290)*100</x:f>
        <x:v>0.18921510445067402</x:v>
      </x:c>
      <x:c r="G290" s="12" t="n">
        <x:f>Nguon!H291/Nguon!D291</x:f>
        <x:v>0.03310215926417786</x:v>
      </x:c>
      <x:c r="H290" s="12" t="n">
        <x:f>Nguon!I291/Nguon!E291</x:f>
        <x:v>0.0328454563374729</x:v>
      </x:c>
      <x:c r="I290" s="13" t="n">
        <x:f>(H290-G290)*100</x:f>
        <x:v>-0.02567029267049603</x:v>
      </x:c>
      <x:c r="J290" s="11" t="n">
        <x:f>Nguon!G291-Nguon!I291</x:f>
        <x:v>6960</x:v>
      </x:c>
      <x:c r="K290" s="12" t="n">
        <x:f>Nguon!N291/Nguon!K291</x:f>
        <x:v>0.041932720127964736</x:v>
      </x:c>
      <x:c r="L290" s="12" t="n">
        <x:f>Nguon!O291/Nguon!K291</x:f>
        <x:v>0.017643031832950594</x:v>
      </x:c>
      <x:c r="M290" s="2"/>
      <x:c r="N290" s="2"/>
      <x:c r="O290" s="2"/>
      <x:c r="P290" s="2"/>
      <x:c r="Q290" s="2"/>
      <x:c r="R290" s="2"/>
      <x:c r="S290" s="2"/>
      <x:c r="T290" s="2"/>
      <x:c r="U290" s="2"/>
    </x:row>
    <x:row r="291" ht="26" customHeight="1">
      <x:c r="A291" s="2" t="str">
        <x:v>E10000019</x:v>
      </x:c>
      <x:c r="B291" s="2" t="str">
        <x:v>Tiểu học</x:v>
      </x:c>
      <x:c r="C291" s="2" t="str">
        <x:v>Lincolnshire</x:v>
      </x:c>
      <x:c r="D291" s="12" t="n">
        <x:f>Nguon!F292/Nguon!D292</x:f>
        <x:v>0.13592395278387132</x:v>
      </x:c>
      <x:c r="E291" s="12" t="n">
        <x:f>Nguon!G292/Nguon!E292</x:f>
        <x:v>0.13482978087223954</x:v>
      </x:c>
      <x:c r="F291" s="13" t="n">
        <x:f>(E291-D291)*100</x:f>
        <x:v>-0.1094171911631775</x:v>
      </x:c>
      <x:c r="G291" s="12" t="n">
        <x:f>Nguon!H292/Nguon!D292</x:f>
        <x:v>0.009088060169225948</x:v>
      </x:c>
      <x:c r="H291" s="12" t="n">
        <x:f>Nguon!I292/Nguon!E292</x:f>
        <x:v>0.010465165947631454</x:v>
      </x:c>
      <x:c r="I291" s="13" t="n">
        <x:f>(H291-G291)*100</x:f>
        <x:v>0.13771057784055069</x:v>
      </x:c>
      <x:c r="J291" s="11" t="n">
        <x:f>Nguon!G292-Nguon!I292</x:f>
        <x:v>5823</x:v>
      </x:c>
      <x:c r="K291" s="12" t="n">
        <x:f>Nguon!N292/Nguon!K292</x:f>
        <x:v>0.0293545832664669</x:v>
      </x:c>
      <x:c r="L291" s="12" t="n">
        <x:f>Nguon!O292/Nguon!K292</x:f>
        <x:v>0.005105629361825733</x:v>
      </x:c>
      <x:c r="M291" s="2"/>
      <x:c r="N291" s="2"/>
      <x:c r="O291" s="2"/>
      <x:c r="P291" s="2"/>
      <x:c r="Q291" s="2"/>
      <x:c r="R291" s="2"/>
      <x:c r="S291" s="2"/>
      <x:c r="T291" s="2"/>
      <x:c r="U291" s="2"/>
    </x:row>
    <x:row r="292" ht="26" customHeight="1">
      <x:c r="A292" s="2" t="str">
        <x:v>E10000019</x:v>
      </x:c>
      <x:c r="B292" s="2" t="str">
        <x:v>Trung học</x:v>
      </x:c>
      <x:c r="C292" s="2" t="str">
        <x:v>Lincolnshire</x:v>
      </x:c>
      <x:c r="D292" s="12" t="n">
        <x:f>Nguon!F293/Nguon!D293</x:f>
        <x:v>0.21729190956267289</x:v>
      </x:c>
      <x:c r="E292" s="12" t="n">
        <x:f>Nguon!G293/Nguon!E293</x:f>
        <x:v>0.22088399305238138</x:v>
      </x:c>
      <x:c r="F292" s="13" t="n">
        <x:f>(E292-D292)*100</x:f>
        <x:v>0.3592083489708492</x:v>
      </x:c>
      <x:c r="G292" s="12" t="n">
        <x:f>Nguon!H293/Nguon!D293</x:f>
        <x:v>0.031662208810552546</x:v>
      </x:c>
      <x:c r="H292" s="12" t="n">
        <x:f>Nguon!I293/Nguon!E293</x:f>
        <x:v>0.029413109059329007</x:v>
      </x:c>
      <x:c r="I292" s="13" t="n">
        <x:f>(H292-G292)*100</x:f>
        <x:v>-0.22490997512235392</x:v>
      </x:c>
      <x:c r="J292" s="11" t="n">
        <x:f>Nguon!G293-Nguon!I293</x:f>
        <x:v>8378</x:v>
      </x:c>
      <x:c r="K292" s="12" t="n">
        <x:f>Nguon!N293/Nguon!K293</x:f>
        <x:v>0.04231972609745721</x:v>
      </x:c>
      <x:c r="L292" s="12" t="n">
        <x:f>Nguon!O293/Nguon!K293</x:f>
        <x:v>0.01675430657522219</x:v>
      </x:c>
      <x:c r="M292" s="2"/>
      <x:c r="N292" s="2"/>
      <x:c r="O292" s="2"/>
      <x:c r="P292" s="2"/>
      <x:c r="Q292" s="2"/>
      <x:c r="R292" s="2"/>
      <x:c r="S292" s="2"/>
      <x:c r="T292" s="2"/>
      <x:c r="U292" s="2"/>
    </x:row>
    <x:row r="293" ht="26" customHeight="1">
      <x:c r="A293" s="2" t="str">
        <x:v>E10000020</x:v>
      </x:c>
      <x:c r="B293" s="2" t="str">
        <x:v>Tiểu học</x:v>
      </x:c>
      <x:c r="C293" s="2" t="str">
        <x:v>Norfolk</x:v>
      </x:c>
      <x:c r="D293" s="12" t="n">
        <x:f>Nguon!F294/Nguon!D294</x:f>
        <x:v>0.1401553779689615</x:v>
      </x:c>
      <x:c r="E293" s="12" t="n">
        <x:f>Nguon!G294/Nguon!E294</x:f>
        <x:v>0.14157641281382644</x:v>
      </x:c>
      <x:c r="F293" s="13" t="n">
        <x:f>(E293-D293)*100</x:f>
        <x:v>0.14210348448649435</x:v>
      </x:c>
      <x:c r="G293" s="12" t="n">
        <x:f>Nguon!H294/Nguon!D294</x:f>
        <x:v>0.010550127009437636</x:v>
      </x:c>
      <x:c r="H293" s="12" t="n">
        <x:f>Nguon!I294/Nguon!E294</x:f>
        <x:v>0.012695814378438053</x:v>
      </x:c>
      <x:c r="I293" s="13" t="n">
        <x:f>(H293-G293)*100</x:f>
        <x:v>0.21456873690004175</x:v>
      </x:c>
      <x:c r="J293" s="11" t="n">
        <x:f>Nguon!G294-Nguon!I294</x:f>
        <x:v>6771</x:v>
      </x:c>
      <x:c r="K293" s="12" t="n">
        <x:f>Nguon!N294/Nguon!K294</x:f>
        <x:v>0.02926507624883495</x:v>
      </x:c>
      <x:c r="L293" s="12" t="n">
        <x:f>Nguon!O294/Nguon!K294</x:f>
        <x:v>0.005667143138140818</x:v>
      </x:c>
      <x:c r="M293" s="2"/>
      <x:c r="N293" s="2"/>
      <x:c r="O293" s="2"/>
      <x:c r="P293" s="2"/>
      <x:c r="Q293" s="2"/>
      <x:c r="R293" s="2"/>
      <x:c r="S293" s="2"/>
      <x:c r="T293" s="2"/>
      <x:c r="U293" s="2"/>
    </x:row>
    <x:row r="294" ht="26" customHeight="1">
      <x:c r="A294" s="2" t="str">
        <x:v>E10000020</x:v>
      </x:c>
      <x:c r="B294" s="2" t="str">
        <x:v>Trung học</x:v>
      </x:c>
      <x:c r="C294" s="2" t="str">
        <x:v>Norfolk</x:v>
      </x:c>
      <x:c r="D294" s="12" t="n">
        <x:f>Nguon!F295/Nguon!D295</x:f>
        <x:v>0.22201359663321463</x:v>
      </x:c>
      <x:c r="E294" s="12" t="n">
        <x:f>Nguon!G295/Nguon!E295</x:f>
        <x:v>0.21994287198130355</x:v>
      </x:c>
      <x:c r="F294" s="13" t="n">
        <x:f>(E294-D294)*100</x:f>
        <x:v>-0.20707246519110767</x:v>
      </x:c>
      <x:c r="G294" s="12" t="n">
        <x:f>Nguon!H295/Nguon!D295</x:f>
        <x:v>0.03912808891766483</x:v>
      </x:c>
      <x:c r="H294" s="12" t="n">
        <x:f>Nguon!I295/Nguon!E295</x:f>
        <x:v>0.038063706396606944</x:v>
      </x:c>
      <x:c r="I294" s="13" t="n">
        <x:f>(H294-G294)*100</x:f>
        <x:v>-0.1064382521057887</x:v>
      </x:c>
      <x:c r="J294" s="11" t="n">
        <x:f>Nguon!G295-Nguon!I295</x:f>
        <x:v>8405</x:v>
      </x:c>
      <x:c r="K294" s="12" t="n">
        <x:f>Nguon!N295/Nguon!K295</x:f>
        <x:v>0.04529588714644751</x:v>
      </x:c>
      <x:c r="L294" s="12" t="n">
        <x:f>Nguon!O295/Nguon!K295</x:f>
        <x:v>0.019107139184237232</x:v>
      </x:c>
      <x:c r="M294" s="2"/>
      <x:c r="N294" s="2"/>
      <x:c r="O294" s="2"/>
      <x:c r="P294" s="2"/>
      <x:c r="Q294" s="2"/>
      <x:c r="R294" s="2"/>
      <x:c r="S294" s="2"/>
      <x:c r="T294" s="2"/>
      <x:c r="U294" s="2"/>
    </x:row>
    <x:row r="295" ht="26" customHeight="1">
      <x:c r="A295" s="2" t="str">
        <x:v>E10000024</x:v>
      </x:c>
      <x:c r="B295" s="2" t="str">
        <x:v>Tiểu học</x:v>
      </x:c>
      <x:c r="C295" s="2" t="str">
        <x:v>Nottinghamshire</x:v>
      </x:c>
      <x:c r="D295" s="12" t="n">
        <x:f>Nguon!F296/Nguon!D296</x:f>
        <x:v>0.1432873755309519</x:v>
      </x:c>
      <x:c r="E295" s="12" t="n">
        <x:f>Nguon!G296/Nguon!E296</x:f>
        <x:v>0.1406026836880433</x:v>
      </x:c>
      <x:c r="F295" s="13" t="n">
        <x:f>(E295-D295)*100</x:f>
        <x:v>-0.2684691842908593</x:v>
      </x:c>
      <x:c r="G295" s="12" t="n">
        <x:f>Nguon!H296/Nguon!D296</x:f>
        <x:v>0.007972982382842421</x:v>
      </x:c>
      <x:c r="H295" s="12" t="n">
        <x:f>Nguon!I296/Nguon!E296</x:f>
        <x:v>0.009168973603935605</x:v>
      </x:c>
      <x:c r="I295" s="13" t="n">
        <x:f>(H295-G295)*100</x:f>
        <x:v>0.11959912210931842</x:v>
      </x:c>
      <x:c r="J295" s="11" t="n">
        <x:f>Nguon!G296-Nguon!I296</x:f>
        <x:v>7454</x:v>
      </x:c>
      <x:c r="K295" s="12" t="n">
        <x:f>Nguon!N296/Nguon!K296</x:f>
        <x:v>0.02801636969838522</x:v>
      </x:c>
      <x:c r="L295" s="12" t="n">
        <x:f>Nguon!O296/Nguon!K296</x:f>
        <x:v>0.005390723811085806</x:v>
      </x:c>
      <x:c r="M295" s="2"/>
      <x:c r="N295" s="2"/>
      <x:c r="O295" s="2"/>
      <x:c r="P295" s="2"/>
      <x:c r="Q295" s="2"/>
      <x:c r="R295" s="2"/>
      <x:c r="S295" s="2"/>
      <x:c r="T295" s="2"/>
      <x:c r="U295" s="2"/>
    </x:row>
    <x:row r="296" ht="26" customHeight="1">
      <x:c r="A296" s="2" t="str">
        <x:v>E10000024</x:v>
      </x:c>
      <x:c r="B296" s="2" t="str">
        <x:v>Trung học</x:v>
      </x:c>
      <x:c r="C296" s="2" t="str">
        <x:v>Nottinghamshire</x:v>
      </x:c>
      <x:c r="D296" s="12" t="n">
        <x:f>Nguon!F297/Nguon!D297</x:f>
        <x:v>0.2151506503037469</x:v>
      </x:c>
      <x:c r="E296" s="12" t="n">
        <x:f>Nguon!G297/Nguon!E297</x:f>
        <x:v>0.21642737350186117</x:v>
      </x:c>
      <x:c r="F296" s="13" t="n">
        <x:f>(E296-D296)*100</x:f>
        <x:v>0.12767231981142824</x:v>
      </x:c>
      <x:c r="G296" s="12" t="n">
        <x:f>Nguon!H297/Nguon!D297</x:f>
        <x:v>0.032596730134137886</x:v>
      </x:c>
      <x:c r="H296" s="12" t="n">
        <x:f>Nguon!I297/Nguon!E297</x:f>
        <x:v>0.031005849388473023</x:v>
      </x:c>
      <x:c r="I296" s="13" t="n">
        <x:f>(H296-G296)*100</x:f>
        <x:v>-0.15908807456648627</x:v>
      </x:c>
      <x:c r="J296" s="11" t="n">
        <x:f>Nguon!G297-Nguon!I297</x:f>
        <x:v>9066</x:v>
      </x:c>
      <x:c r="K296" s="12" t="n">
        <x:f>Nguon!N297/Nguon!K297</x:f>
        <x:v>0.035097485734898466</x:v>
      </x:c>
      <x:c r="L296" s="12" t="n">
        <x:f>Nguon!O297/Nguon!K297</x:f>
        <x:v>0.02266002719777425</x:v>
      </x:c>
      <x:c r="M296" s="2"/>
      <x:c r="N296" s="2"/>
      <x:c r="O296" s="2"/>
      <x:c r="P296" s="2"/>
      <x:c r="Q296" s="2"/>
      <x:c r="R296" s="2"/>
      <x:c r="S296" s="2"/>
      <x:c r="T296" s="2"/>
      <x:c r="U296" s="2"/>
    </x:row>
    <x:row r="297" ht="26" customHeight="1">
      <x:c r="A297" s="2" t="str">
        <x:v>E10000025</x:v>
      </x:c>
      <x:c r="B297" s="2" t="str">
        <x:v>Tiểu học</x:v>
      </x:c>
      <x:c r="C297" s="2" t="str">
        <x:v>Oxfordshire</x:v>
      </x:c>
      <x:c r="D297" s="12" t="n">
        <x:f>Nguon!F298/Nguon!D298</x:f>
        <x:v>0.134575660352481</x:v>
      </x:c>
      <x:c r="E297" s="12" t="n">
        <x:f>Nguon!G298/Nguon!E298</x:f>
        <x:v>0.12141818588524773</x:v>
      </x:c>
      <x:c r="F297" s="13" t="n">
        <x:f>(E297-D297)*100</x:f>
        <x:v>-1.3157474467233268</x:v>
      </x:c>
      <x:c r="G297" s="12" t="n">
        <x:f>Nguon!H298/Nguon!D298</x:f>
        <x:v>0.009163626774491276</x:v>
      </x:c>
      <x:c r="H297" s="12" t="n">
        <x:f>Nguon!I298/Nguon!E298</x:f>
        <x:v>0.011027849233866458</x:v>
      </x:c>
      <x:c r="I297" s="13" t="n">
        <x:f>(H297-G297)*100</x:f>
        <x:v>0.18642224593751824</x:v>
      </x:c>
      <x:c r="J297" s="11" t="n">
        <x:f>Nguon!G298-Nguon!I298</x:f>
        <x:v>4935</x:v>
      </x:c>
      <x:c r="K297" s="12" t="n">
        <x:f>Nguon!N298/Nguon!K298</x:f>
        <x:v>0.0277185325208481</x:v>
      </x:c>
      <x:c r="L297" s="12" t="n">
        <x:f>Nguon!O298/Nguon!K298</x:f>
        <x:v>0.004334653867682109</x:v>
      </x:c>
      <x:c r="M297" s="2"/>
      <x:c r="N297" s="2"/>
      <x:c r="O297" s="2"/>
      <x:c r="P297" s="2"/>
      <x:c r="Q297" s="2"/>
      <x:c r="R297" s="2"/>
      <x:c r="S297" s="2"/>
      <x:c r="T297" s="2"/>
      <x:c r="U297" s="2"/>
    </x:row>
    <x:row r="298" ht="26" customHeight="1">
      <x:c r="A298" s="2" t="str">
        <x:v>E10000025</x:v>
      </x:c>
      <x:c r="B298" s="2" t="str">
        <x:v>Trung học</x:v>
      </x:c>
      <x:c r="C298" s="2" t="str">
        <x:v>Oxfordshire</x:v>
      </x:c>
      <x:c r="D298" s="12" t="n">
        <x:f>Nguon!F299/Nguon!D299</x:f>
        <x:v>0.2340637450199203</x:v>
      </x:c>
      <x:c r="E298" s="12" t="n">
        <x:f>Nguon!G299/Nguon!E299</x:f>
        <x:v>0.2266923758403252</x:v>
      </x:c>
      <x:c r="F298" s="13" t="n">
        <x:f>(E298-D298)*100</x:f>
        <x:v>-0.7371369179595105</x:v>
      </x:c>
      <x:c r="G298" s="12" t="n">
        <x:f>Nguon!H299/Nguon!D299</x:f>
        <x:v>0.04219962256238205</x:v>
      </x:c>
      <x:c r="H298" s="12" t="n">
        <x:f>Nguon!I299/Nguon!E299</x:f>
        <x:v>0.04158632549898379</x:v>
      </x:c>
      <x:c r="I298" s="13" t="n">
        <x:f>(H298-G298)*100</x:f>
        <x:v>-0.06132970633982576</x:v>
      </x:c>
      <x:c r="J298" s="11" t="n">
        <x:f>Nguon!G299-Nguon!I299</x:f>
        <x:v>7104</x:v>
      </x:c>
      <x:c r="K298" s="12" t="n">
        <x:f>Nguon!N299/Nguon!K299</x:f>
        <x:v>0.04347524039770065</x:v>
      </x:c>
      <x:c r="L298" s="12" t="n">
        <x:f>Nguon!O299/Nguon!K299</x:f>
        <x:v>0.020864856922399345</x:v>
      </x:c>
      <x:c r="M298" s="2"/>
      <x:c r="N298" s="2"/>
      <x:c r="O298" s="2"/>
      <x:c r="P298" s="2"/>
      <x:c r="Q298" s="2"/>
      <x:c r="R298" s="2"/>
      <x:c r="S298" s="2"/>
      <x:c r="T298" s="2"/>
      <x:c r="U298" s="2"/>
    </x:row>
    <x:row r="299" ht="26" customHeight="1">
      <x:c r="A299" s="2" t="str">
        <x:v>E10000028</x:v>
      </x:c>
      <x:c r="B299" s="2" t="str">
        <x:v>Tiểu học</x:v>
      </x:c>
      <x:c r="C299" s="2" t="str">
        <x:v>Staffordshire</x:v>
      </x:c>
      <x:c r="D299" s="12" t="n">
        <x:f>Nguon!F300/Nguon!D300</x:f>
        <x:v>0.1276717065813192</x:v>
      </x:c>
      <x:c r="E299" s="12" t="n">
        <x:f>Nguon!G300/Nguon!E300</x:f>
        <x:v>0.12961552041328303</x:v>
      </x:c>
      <x:c r="F299" s="13" t="n">
        <x:f>(E299-D299)*100</x:f>
        <x:v>0.19438138319638198</x:v>
      </x:c>
      <x:c r="G299" s="12" t="n">
        <x:f>Nguon!H300/Nguon!D300</x:f>
        <x:v>0.005867637861898981</x:v>
      </x:c>
      <x:c r="H299" s="12" t="n">
        <x:f>Nguon!I300/Nguon!E300</x:f>
        <x:v>0.006504004608551837</x:v>
      </x:c>
      <x:c r="I299" s="13" t="n">
        <x:f>(H299-G299)*100</x:f>
        <x:v>0.06363667466528561</x:v>
      </x:c>
      <x:c r="J299" s="11" t="n">
        <x:f>Nguon!G300-Nguon!I300</x:f>
        <x:v>6625</x:v>
      </x:c>
      <x:c r="K299" s="12" t="n">
        <x:f>Nguon!N300/Nguon!K300</x:f>
        <x:v>0.031887733500983416</x:v>
      </x:c>
      <x:c r="L299" s="12" t="n">
        <x:f>Nguon!O300/Nguon!K300</x:f>
        <x:v>0.003699305369014732</x:v>
      </x:c>
      <x:c r="M299" s="2"/>
      <x:c r="N299" s="2"/>
      <x:c r="O299" s="2"/>
      <x:c r="P299" s="2"/>
      <x:c r="Q299" s="2"/>
      <x:c r="R299" s="2"/>
      <x:c r="S299" s="2"/>
      <x:c r="T299" s="2"/>
      <x:c r="U299" s="2"/>
    </x:row>
    <x:row r="300" ht="26" customHeight="1">
      <x:c r="A300" s="2" t="str">
        <x:v>E10000028</x:v>
      </x:c>
      <x:c r="B300" s="2" t="str">
        <x:v>Trung học</x:v>
      </x:c>
      <x:c r="C300" s="2" t="str">
        <x:v>Staffordshire</x:v>
      </x:c>
      <x:c r="D300" s="12" t="n">
        <x:f>Nguon!F301/Nguon!D301</x:f>
        <x:v>0.19789061439733224</x:v>
      </x:c>
      <x:c r="E300" s="12" t="n">
        <x:f>Nguon!G301/Nguon!E301</x:f>
        <x:v>0.20289296046287367</x:v>
      </x:c>
      <x:c r="F300" s="13" t="n">
        <x:f>(E300-D300)*100</x:f>
        <x:v>0.5002346065541424</x:v>
      </x:c>
      <x:c r="G300" s="12" t="n">
        <x:f>Nguon!H301/Nguon!D301</x:f>
        <x:v>0.025010178561042283</x:v>
      </x:c>
      <x:c r="H300" s="12" t="n">
        <x:f>Nguon!I301/Nguon!E301</x:f>
        <x:v>0.024609450337512054</x:v>
      </x:c>
      <x:c r="I300" s="13" t="n">
        <x:f>(H300-G300)*100</x:f>
        <x:v>-0.040072822353022855</x:v>
      </x:c>
      <x:c r="J300" s="11" t="n">
        <x:f>Nguon!G301-Nguon!I301</x:f>
        <x:v>9244</x:v>
      </x:c>
      <x:c r="K300" s="12" t="n">
        <x:f>Nguon!N301/Nguon!K301</x:f>
        <x:v>0.041774658969685755</x:v>
      </x:c>
      <x:c r="L300" s="12" t="n">
        <x:f>Nguon!O301/Nguon!K301</x:f>
        <x:v>0.014306171697421198</x:v>
      </x:c>
      <x:c r="M300" s="2"/>
      <x:c r="N300" s="2"/>
      <x:c r="O300" s="2"/>
      <x:c r="P300" s="2"/>
      <x:c r="Q300" s="2"/>
      <x:c r="R300" s="2"/>
      <x:c r="S300" s="2"/>
      <x:c r="T300" s="2"/>
      <x:c r="U300" s="2"/>
    </x:row>
    <x:row r="301" ht="26" customHeight="1">
      <x:c r="A301" s="2" t="str">
        <x:v>E10000029</x:v>
      </x:c>
      <x:c r="B301" s="2" t="str">
        <x:v>Tiểu học</x:v>
      </x:c>
      <x:c r="C301" s="2" t="str">
        <x:v>Suffolk</x:v>
      </x:c>
      <x:c r="D301" s="12" t="n">
        <x:f>Nguon!F302/Nguon!D302</x:f>
        <x:v>0.14059418538074941</x:v>
      </x:c>
      <x:c r="E301" s="12" t="n">
        <x:f>Nguon!G302/Nguon!E302</x:f>
        <x:v>0.13313825896122897</x:v>
      </x:c>
      <x:c r="F301" s="13" t="n">
        <x:f>(E301-D301)*100</x:f>
        <x:v>-0.7455926419520448</x:v>
      </x:c>
      <x:c r="G301" s="12" t="n">
        <x:f>Nguon!H302/Nguon!D302</x:f>
        <x:v>0.00979706088173548</x:v>
      </x:c>
      <x:c r="H301" s="12" t="n">
        <x:f>Nguon!I302/Nguon!E302</x:f>
        <x:v>0.011123542321098153</x:v>
      </x:c>
      <x:c r="I301" s="13" t="n">
        <x:f>(H301-G301)*100</x:f>
        <x:v>0.1326481439362674</x:v>
      </x:c>
      <x:c r="J301" s="11" t="n">
        <x:f>Nguon!G302-Nguon!I302</x:f>
        <x:v>5671</x:v>
      </x:c>
      <x:c r="K301" s="12" t="n">
        <x:f>Nguon!N302/Nguon!K302</x:f>
        <x:v>0.027954530615902112</x:v>
      </x:c>
      <x:c r="L301" s="12" t="n">
        <x:f>Nguon!O302/Nguon!K302</x:f>
        <x:v>0.004953785514451039</x:v>
      </x:c>
      <x:c r="M301" s="2"/>
      <x:c r="N301" s="2"/>
      <x:c r="O301" s="2"/>
      <x:c r="P301" s="2"/>
      <x:c r="Q301" s="2"/>
      <x:c r="R301" s="2"/>
      <x:c r="S301" s="2"/>
      <x:c r="T301" s="2"/>
      <x:c r="U301" s="2"/>
    </x:row>
    <x:row r="302" ht="26" customHeight="1">
      <x:c r="A302" s="2" t="str">
        <x:v>E10000029</x:v>
      </x:c>
      <x:c r="B302" s="2" t="str">
        <x:v>Trung học</x:v>
      </x:c>
      <x:c r="C302" s="2" t="str">
        <x:v>Suffolk</x:v>
      </x:c>
      <x:c r="D302" s="12" t="n">
        <x:f>Nguon!F303/Nguon!D303</x:f>
        <x:v>0.225822695571166</x:v>
      </x:c>
      <x:c r="E302" s="12" t="n">
        <x:f>Nguon!G303/Nguon!E303</x:f>
        <x:v>0.22857287372600593</x:v>
      </x:c>
      <x:c r="F302" s="13" t="n">
        <x:f>(E302-D302)*100</x:f>
        <x:v>0.27501781548399384</x:v>
      </x:c>
      <x:c r="G302" s="12" t="n">
        <x:f>Nguon!H303/Nguon!D303</x:f>
        <x:v>0.03864843769670418</x:v>
      </x:c>
      <x:c r="H302" s="12" t="n">
        <x:f>Nguon!I303/Nguon!E303</x:f>
        <x:v>0.039300978730937505</x:v>
      </x:c>
      <x:c r="I302" s="13" t="n">
        <x:f>(H302-G302)*100</x:f>
        <x:v>0.0652541034233324</x:v>
      </x:c>
      <x:c r="J302" s="11" t="n">
        <x:f>Nguon!G303-Nguon!I303</x:f>
        <x:v>7484</x:v>
      </x:c>
      <x:c r="K302" s="12" t="n">
        <x:f>Nguon!N303/Nguon!K303</x:f>
        <x:v>0.04096048039383164</x:v>
      </x:c>
      <x:c r="L302" s="12" t="n">
        <x:f>Nguon!O303/Nguon!K303</x:f>
        <x:v>0.022318369920954935</x:v>
      </x:c>
      <x:c r="M302" s="2"/>
      <x:c r="N302" s="2"/>
      <x:c r="O302" s="2"/>
      <x:c r="P302" s="2"/>
      <x:c r="Q302" s="2"/>
      <x:c r="R302" s="2"/>
      <x:c r="S302" s="2"/>
      <x:c r="T302" s="2"/>
      <x:c r="U302" s="2"/>
    </x:row>
    <x:row r="303" ht="26" customHeight="1">
      <x:c r="A303" s="2" t="str">
        <x:v>E10000030</x:v>
      </x:c>
      <x:c r="B303" s="2" t="str">
        <x:v>Tiểu học</x:v>
      </x:c>
      <x:c r="C303" s="2" t="str">
        <x:v>Surrey</x:v>
      </x:c>
      <x:c r="D303" s="12" t="n">
        <x:f>Nguon!F304/Nguon!D304</x:f>
        <x:v>0.12252751582652552</x:v>
      </x:c>
      <x:c r="E303" s="12" t="n">
        <x:f>Nguon!G304/Nguon!E304</x:f>
        <x:v>0.11889226811720414</x:v>
      </x:c>
      <x:c r="F303" s="13" t="n">
        <x:f>(E303-D303)*100</x:f>
        <x:v>-0.36352477093213736</x:v>
      </x:c>
      <x:c r="G303" s="12" t="n">
        <x:f>Nguon!H304/Nguon!D304</x:f>
        <x:v>0.008668470408994195</x:v>
      </x:c>
      <x:c r="H303" s="12" t="n">
        <x:f>Nguon!I304/Nguon!E304</x:f>
        <x:v>0.009405270702983694</x:v>
      </x:c>
      <x:c r="I303" s="13" t="n">
        <x:f>(H303-G303)*100</x:f>
        <x:v>0.07368002939894987</x:v>
      </x:c>
      <x:c r="J303" s="11" t="n">
        <x:f>Nguon!G304-Nguon!I304</x:f>
        <x:v>8172</x:v>
      </x:c>
      <x:c r="K303" s="12" t="n">
        <x:f>Nguon!N304/Nguon!K304</x:f>
        <x:v>0.028487683200266338</x:v>
      </x:c>
      <x:c r="L303" s="12" t="n">
        <x:f>Nguon!O304/Nguon!K304</x:f>
        <x:v>0.004586104815536016</x:v>
      </x:c>
      <x:c r="M303" s="2"/>
      <x:c r="N303" s="2"/>
      <x:c r="O303" s="2"/>
      <x:c r="P303" s="2"/>
      <x:c r="Q303" s="2"/>
      <x:c r="R303" s="2"/>
      <x:c r="S303" s="2"/>
      <x:c r="T303" s="2"/>
      <x:c r="U303" s="2"/>
    </x:row>
    <x:row r="304" ht="26" customHeight="1">
      <x:c r="A304" s="2" t="str">
        <x:v>E10000030</x:v>
      </x:c>
      <x:c r="B304" s="2" t="str">
        <x:v>Trung học</x:v>
      </x:c>
      <x:c r="C304" s="2" t="str">
        <x:v>Surrey</x:v>
      </x:c>
      <x:c r="D304" s="12" t="n">
        <x:f>Nguon!F305/Nguon!D305</x:f>
        <x:v>0.17538225801193233</x:v>
      </x:c>
      <x:c r="E304" s="12" t="n">
        <x:f>Nguon!G305/Nguon!E305</x:f>
        <x:v>0.1813750264929814</x:v>
      </x:c>
      <x:c r="F304" s="13" t="n">
        <x:f>(E304-D304)*100</x:f>
        <x:v>0.5992768481049071</x:v>
      </x:c>
      <x:c r="G304" s="12" t="n">
        <x:f>Nguon!H305/Nguon!D305</x:f>
        <x:v>0.02573924950282007</x:v>
      </x:c>
      <x:c r="H304" s="12" t="n">
        <x:f>Nguon!I305/Nguon!E305</x:f>
        <x:v>0.025661509366287884</x:v>
      </x:c>
      <x:c r="I304" s="13" t="n">
        <x:f>(H304-G304)*100</x:f>
        <x:v>-0.007774013653218462</x:v>
      </x:c>
      <x:c r="J304" s="11" t="n">
        <x:f>Nguon!G305-Nguon!I305</x:f>
        <x:v>9551</x:v>
      </x:c>
      <x:c r="K304" s="12" t="n">
        <x:f>Nguon!N305/Nguon!K305</x:f>
        <x:v>0.03763308303836398</x:v>
      </x:c>
      <x:c r="L304" s="12" t="n">
        <x:f>Nguon!O305/Nguon!K305</x:f>
        <x:v>0.013527416389789368</x:v>
      </x:c>
      <x:c r="M304" s="2"/>
      <x:c r="N304" s="2"/>
      <x:c r="O304" s="2"/>
      <x:c r="P304" s="2"/>
      <x:c r="Q304" s="2"/>
      <x:c r="R304" s="2"/>
      <x:c r="S304" s="2"/>
      <x:c r="T304" s="2"/>
      <x:c r="U304" s="2"/>
    </x:row>
    <x:row r="305" ht="26" customHeight="1">
      <x:c r="A305" s="2" t="str">
        <x:v>E10000031</x:v>
      </x:c>
      <x:c r="B305" s="2" t="str">
        <x:v>Tiểu học</x:v>
      </x:c>
      <x:c r="C305" s="2" t="str">
        <x:v>Warwickshire</x:v>
      </x:c>
      <x:c r="D305" s="12" t="n">
        <x:f>Nguon!F306/Nguon!D306</x:f>
        <x:v>0.1411398150192586</x:v>
      </x:c>
      <x:c r="E305" s="12" t="n">
        <x:f>Nguon!G306/Nguon!E306</x:f>
        <x:v>0.1356950384415713</x:v>
      </x:c>
      <x:c r="F305" s="13" t="n">
        <x:f>(E305-D305)*100</x:f>
        <x:v>-0.5444776577687299</x:v>
      </x:c>
      <x:c r="G305" s="12" t="n">
        <x:f>Nguon!H306/Nguon!D306</x:f>
        <x:v>0.009420769853536468</x:v>
      </x:c>
      <x:c r="H305" s="12" t="n">
        <x:f>Nguon!I306/Nguon!E306</x:f>
        <x:v>0.010679587649254654</x:v>
      </x:c>
      <x:c r="I305" s="13" t="n">
        <x:f>(H305-G305)*100</x:f>
        <x:v>0.12588177957181865</x:v>
      </x:c>
      <x:c r="J305" s="11" t="n">
        <x:f>Nguon!G306-Nguon!I306</x:f>
        <x:v>5057</x:v>
      </x:c>
      <x:c r="K305" s="12" t="n">
        <x:f>Nguon!N306/Nguon!K306</x:f>
        <x:v>0.031123181124392503</x:v>
      </x:c>
      <x:c r="L305" s="12" t="n">
        <x:f>Nguon!O306/Nguon!K306</x:f>
        <x:v>0.005328320958393604</x:v>
      </x:c>
      <x:c r="M305" s="2"/>
      <x:c r="N305" s="2"/>
      <x:c r="O305" s="2"/>
      <x:c r="P305" s="2"/>
      <x:c r="Q305" s="2"/>
      <x:c r="R305" s="2"/>
      <x:c r="S305" s="2"/>
      <x:c r="T305" s="2"/>
      <x:c r="U305" s="2"/>
    </x:row>
    <x:row r="306" ht="26" customHeight="1">
      <x:c r="A306" s="2" t="str">
        <x:v>E10000031</x:v>
      </x:c>
      <x:c r="B306" s="2" t="str">
        <x:v>Trung học</x:v>
      </x:c>
      <x:c r="C306" s="2" t="str">
        <x:v>Warwickshire</x:v>
      </x:c>
      <x:c r="D306" s="12" t="n">
        <x:f>Nguon!F307/Nguon!D307</x:f>
        <x:v>0.21188214002940844</x:v>
      </x:c>
      <x:c r="E306" s="12" t="n">
        <x:f>Nguon!G307/Nguon!E307</x:f>
        <x:v>0.21500547337693324</x:v>
      </x:c>
      <x:c r="F306" s="13" t="n">
        <x:f>(E306-D306)*100</x:f>
        <x:v>0.31233333475247926</x:v>
      </x:c>
      <x:c r="G306" s="12" t="n">
        <x:f>Nguon!H307/Nguon!D307</x:f>
        <x:v>0.04023866078497908</x:v>
      </x:c>
      <x:c r="H306" s="12" t="n">
        <x:f>Nguon!I307/Nguon!E307</x:f>
        <x:v>0.04055912650517866</x:v>
      </x:c>
      <x:c r="I306" s="13" t="n">
        <x:f>(H306-G306)*100</x:f>
        <x:v>0.03204657201995795</x:v>
      </x:c>
      <x:c r="J306" s="11" t="n">
        <x:f>Nguon!G307-Nguon!I307</x:f>
        <x:v>6215</x:v>
      </x:c>
      <x:c r="K306" s="12" t="n">
        <x:f>Nguon!N307/Nguon!K307</x:f>
        <x:v>0.04593320601421011</x:v>
      </x:c>
      <x:c r="L306" s="12" t="n">
        <x:f>Nguon!O307/Nguon!K307</x:f>
        <x:v>0.02138232961626232</x:v>
      </x:c>
      <x:c r="M306" s="2"/>
      <x:c r="N306" s="2"/>
      <x:c r="O306" s="2"/>
      <x:c r="P306" s="2"/>
      <x:c r="Q306" s="2"/>
      <x:c r="R306" s="2"/>
      <x:c r="S306" s="2"/>
      <x:c r="T306" s="2"/>
      <x:c r="U306" s="2"/>
    </x:row>
    <x:row r="307" ht="26" customHeight="1">
      <x:c r="A307" s="2" t="str">
        <x:v>E10000032</x:v>
      </x:c>
      <x:c r="B307" s="2" t="str">
        <x:v>Tiểu học</x:v>
      </x:c>
      <x:c r="C307" s="2" t="str">
        <x:v>West Sussex</x:v>
      </x:c>
      <x:c r="D307" s="12" t="n">
        <x:f>Nguon!F308/Nguon!D308</x:f>
        <x:v>0.13244948573929535</x:v>
      </x:c>
      <x:c r="E307" s="12" t="n">
        <x:f>Nguon!G308/Nguon!E308</x:f>
        <x:v>0.13410562802152695</x:v>
      </x:c>
      <x:c r="F307" s="13" t="n">
        <x:f>(E307-D307)*100</x:f>
        <x:v>0.16561422822315985</x:v>
      </x:c>
      <x:c r="G307" s="12" t="n">
        <x:f>Nguon!H308/Nguon!D308</x:f>
        <x:v>0.007604493398497338</x:v>
      </x:c>
      <x:c r="H307" s="12" t="n">
        <x:f>Nguon!I308/Nguon!E308</x:f>
        <x:v>0.009833074888260513</x:v>
      </x:c>
      <x:c r="I307" s="13" t="n">
        <x:f>(H307-G307)*100</x:f>
        <x:v>0.22285814897631748</x:v>
      </x:c>
      <x:c r="J307" s="11" t="n">
        <x:f>Nguon!G308-Nguon!I308</x:f>
        <x:v>6812</x:v>
      </x:c>
      <x:c r="K307" s="12" t="n">
        <x:f>Nguon!N308/Nguon!K308</x:f>
        <x:v>0.030954685682848527</x:v>
      </x:c>
      <x:c r="L307" s="12" t="n">
        <x:f>Nguon!O308/Nguon!K308</x:f>
        <x:v>0.004392796874796748</x:v>
      </x:c>
      <x:c r="M307" s="2"/>
      <x:c r="N307" s="2"/>
      <x:c r="O307" s="2"/>
      <x:c r="P307" s="2"/>
      <x:c r="Q307" s="2"/>
      <x:c r="R307" s="2"/>
      <x:c r="S307" s="2"/>
      <x:c r="T307" s="2"/>
      <x:c r="U307" s="2"/>
    </x:row>
    <x:row r="308" ht="26" customHeight="1">
      <x:c r="A308" s="2" t="str">
        <x:v>E10000032</x:v>
      </x:c>
      <x:c r="B308" s="2" t="str">
        <x:v>Trung học</x:v>
      </x:c>
      <x:c r="C308" s="2" t="str">
        <x:v>West Sussex</x:v>
      </x:c>
      <x:c r="D308" s="12" t="n">
        <x:f>Nguon!F309/Nguon!D309</x:f>
        <x:v>0.21534382627724938</x:v>
      </x:c>
      <x:c r="E308" s="12" t="n">
        <x:f>Nguon!G309/Nguon!E309</x:f>
        <x:v>0.21564933965458855</x:v>
      </x:c>
      <x:c r="F308" s="13" t="n">
        <x:f>(E308-D308)*100</x:f>
        <x:v>0.030551337733916717</x:v>
      </x:c>
      <x:c r="G308" s="12" t="n">
        <x:f>Nguon!H309/Nguon!D309</x:f>
        <x:v>0.03219425974244592</x:v>
      </x:c>
      <x:c r="H308" s="12" t="n">
        <x:f>Nguon!I309/Nguon!E309</x:f>
        <x:v>0.0317897053843549</x:v>
      </x:c>
      <x:c r="I308" s="13" t="n">
        <x:f>(H308-G308)*100</x:f>
        <x:v>-0.04045543580910235</x:v>
      </x:c>
      <x:c r="J308" s="11" t="n">
        <x:f>Nguon!G309-Nguon!I309</x:f>
        <x:v>8687</x:v>
      </x:c>
      <x:c r="K308" s="12" t="n">
        <x:f>Nguon!N309/Nguon!K309</x:f>
        <x:v>0.04061820055325231</x:v>
      </x:c>
      <x:c r="L308" s="12" t="n">
        <x:f>Nguon!O309/Nguon!K309</x:f>
        <x:v>0.01763572557158918</x:v>
      </x:c>
      <x:c r="M308" s="2"/>
      <x:c r="N308" s="2"/>
      <x:c r="O308" s="2"/>
      <x:c r="P308" s="2"/>
      <x:c r="Q308" s="2"/>
      <x:c r="R308" s="2"/>
      <x:c r="S308" s="2"/>
      <x:c r="T308" s="2"/>
      <x:c r="U308" s="2"/>
    </x:row>
    <x:row r="309" ht="26" customHeight="1">
      <x:c r="A309" s="2" t="str">
        <x:v>E10000034</x:v>
      </x:c>
      <x:c r="B309" s="2" t="str">
        <x:v>Tiểu học</x:v>
      </x:c>
      <x:c r="C309" s="2" t="str">
        <x:v>Worcestershire</x:v>
      </x:c>
      <x:c r="D309" s="12" t="n">
        <x:f>Nguon!F310/Nguon!D310</x:f>
        <x:v>0.14286135258582586</x:v>
      </x:c>
      <x:c r="E309" s="12" t="n">
        <x:f>Nguon!G310/Nguon!E310</x:f>
        <x:v>0.13147122562003372</x:v>
      </x:c>
      <x:c r="F309" s="13" t="n">
        <x:f>(E309-D309)*100</x:f>
        <x:v>-1.139012696579214</x:v>
      </x:c>
      <x:c r="G309" s="12" t="n">
        <x:f>Nguon!H310/Nguon!D310</x:f>
        <x:v>0.007573301900692501</x:v>
      </x:c>
      <x:c r="H309" s="12" t="n">
        <x:f>Nguon!I310/Nguon!E310</x:f>
        <x:v>0.009932578858656393</x:v>
      </x:c>
      <x:c r="I309" s="13" t="n">
        <x:f>(H309-G309)*100</x:f>
        <x:v>0.23592769579638928</x:v>
      </x:c>
      <x:c r="J309" s="11" t="n">
        <x:f>Nguon!G310-Nguon!I310</x:f>
        <x:v>4038</x:v>
      </x:c>
      <x:c r="K309" s="12" t="n">
        <x:f>Nguon!N310/Nguon!K310</x:f>
        <x:v>0.0295260362814061</x:v>
      </x:c>
      <x:c r="L309" s="12" t="n">
        <x:f>Nguon!O310/Nguon!K310</x:f>
        <x:v>0.0053543361853037146</x:v>
      </x:c>
      <x:c r="M309" s="2"/>
      <x:c r="N309" s="2"/>
      <x:c r="O309" s="2"/>
      <x:c r="P309" s="2"/>
      <x:c r="Q309" s="2"/>
      <x:c r="R309" s="2"/>
      <x:c r="S309" s="2"/>
      <x:c r="T309" s="2"/>
      <x:c r="U309" s="2"/>
    </x:row>
    <x:row r="310" ht="26" customHeight="1">
      <x:c r="A310" s="2" t="str">
        <x:v>E10000034</x:v>
      </x:c>
      <x:c r="B310" s="2" t="str">
        <x:v>Trung học</x:v>
      </x:c>
      <x:c r="C310" s="2" t="str">
        <x:v>Worcestershire</x:v>
      </x:c>
      <x:c r="D310" s="12" t="n">
        <x:f>Nguon!F311/Nguon!D311</x:f>
        <x:v>0.22034860614318968</x:v>
      </x:c>
      <x:c r="E310" s="12" t="n">
        <x:f>Nguon!G311/Nguon!E311</x:f>
        <x:v>0.21251385218651436</x:v>
      </x:c>
      <x:c r="F310" s="13" t="n">
        <x:f>(E310-D310)*100</x:f>
        <x:v>-0.7834753956675322</x:v>
      </x:c>
      <x:c r="G310" s="12" t="n">
        <x:f>Nguon!H311/Nguon!D311</x:f>
        <x:v>0.030886277181627207</x:v>
      </x:c>
      <x:c r="H310" s="12" t="n">
        <x:f>Nguon!I311/Nguon!E311</x:f>
        <x:v>0.03284744125252181</x:v>
      </x:c>
      <x:c r="I310" s="13" t="n">
        <x:f>(H310-G310)*100</x:f>
        <x:v>0.19611640708946004</x:v>
      </x:c>
      <x:c r="J310" s="11" t="n">
        <x:f>Nguon!G311-Nguon!I311</x:f>
        <x:v>6323</x:v>
      </x:c>
      <x:c r="K310" s="12" t="n">
        <x:f>Nguon!N311/Nguon!K311</x:f>
        <x:v>0.0455772270588461</x:v>
      </x:c>
      <x:c r="L310" s="12" t="n">
        <x:f>Nguon!O311/Nguon!K311</x:f>
        <x:v>0.014260841386172639</x:v>
      </x:c>
      <x:c r="M310" s="2"/>
      <x:c r="N310" s="2"/>
      <x:c r="O310" s="2"/>
      <x:c r="P310" s="2"/>
      <x:c r="Q310" s="2"/>
      <x:c r="R310" s="2"/>
      <x:c r="S310" s="2"/>
      <x:c r="T310" s="2"/>
      <x:c r="U310" s="2"/>
    </x:row>
    <x:row r="311" ht="26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</x:row>
    <x:row r="312" ht="26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</x:row>
    <x:row r="313" ht="26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</x:row>
    <x:row r="314" ht="26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</x:row>
    <x:row r="315" ht="26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</x:row>
    <x:row r="316" ht="26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</x:row>
    <x:row r="317" ht="26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</x:row>
    <x:row r="318" ht="26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</x:row>
    <x:row r="319" ht="26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</x:row>
    <x:row r="320" ht="26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</x:row>
    <x:row r="321" ht="26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</x:row>
    <x:row r="322" ht="26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</x:row>
    <x:row r="323" ht="26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</x:row>
    <x:row r="324" ht="26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</x:row>
    <x:row r="325" ht="26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</x:row>
    <x:row r="326" ht="26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</x:row>
    <x:row r="327" ht="26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</x:row>
    <x:row r="328" ht="26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</x:row>
    <x:row r="329" ht="26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</x:row>
    <x:row r="330" ht="26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24" hidden="0" customWidth="1"/>
    <x:col min="2" max="2" width="23" hidden="0" customWidth="1"/>
    <x:col min="3" max="3" width="31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</x:row>
    <x:row r="2">
      <x:c r="A2" s="4" t="str">
        <x:v>Đầu vào đã tổng hợp từ nguồn DfE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</x:row>
    <x:row r="3">
      <x:c r="A3" s="2" t="str">
        <x:v>Nguồn: Department for Education, Autumn term 2025/26, công bố 6/8/2026, bản tải 13/10/2026. OGL v3.0.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 t="str">
        <x:v>https://explore-education-statistics.service.gov.uk/data-catalogue/data-set/407a4c0a-260f-4bd0-8b6d-0f49febb207c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 t="str">
        <x:v>304 cặp địa bàn–nhóm trường, ghép bằng mã mới. Số đếm giữ nguyên. Ký hiệu không có dòng được giữ ngoài bảng, không thay bằng 0.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 ht="48" customHeight="1">
      <x:c r="A7" s="10" t="str">
        <x:v>Mã LA</x:v>
      </x:c>
      <x:c r="B7" s="10" t="str">
        <x:v>Nhóm nguồn</x:v>
      </x:c>
      <x:c r="C7" s="10" t="str">
        <x:v>Địa bàn</x:v>
      </x:c>
      <x:c r="D7" s="10" t="str">
        <x:v>Ghi danh 24/25</x:v>
      </x:c>
      <x:c r="E7" s="10" t="str">
        <x:v>Ghi danh 25/26</x:v>
      </x:c>
      <x:c r="F7" s="10" t="str">
        <x:v>PA 24/25</x:v>
      </x:c>
      <x:c r="G7" s="10" t="str">
        <x:v>PA 25/26</x:v>
      </x:c>
      <x:c r="H7" s="10" t="str">
        <x:v>SV 24/25</x:v>
      </x:c>
      <x:c r="I7" s="10" t="str">
        <x:v>SV 25/26</x:v>
      </x:c>
      <x:c r="J7" s="10" t="str">
        <x:v>Buổi có thể 24/25</x:v>
      </x:c>
      <x:c r="K7" s="10" t="str">
        <x:v>Buổi có thể 25/26</x:v>
      </x:c>
      <x:c r="L7" s="10" t="str">
        <x:v>Vắng 24/25</x:v>
      </x:c>
      <x:c r="M7" s="10" t="str">
        <x:v>Vắng 25/26</x:v>
      </x:c>
      <x:c r="N7" s="10" t="str">
        <x:v>Ốm 25/26</x:v>
      </x:c>
      <x:c r="O7" s="10" t="str">
        <x:v>Không phép khác 25/26</x:v>
      </x:c>
      <x:c r="P7" s="10" t="str">
        <x:v>Trường 25/26</x:v>
      </x:c>
      <x:c r="Q7" s="2"/>
      <x:c r="R7" s="2"/>
      <x:c r="S7" s="2"/>
      <x:c r="T7" s="2"/>
      <x:c r="U7" s="2"/>
    </x:row>
    <x:row r="8" ht="26" customHeight="1">
      <x:c r="A8" s="2" t="str">
        <x:v>E06000001</x:v>
      </x:c>
      <x:c r="B8" s="2" t="str">
        <x:v>State-funded primary</x:v>
      </x:c>
      <x:c r="C8" s="2" t="str">
        <x:v>Hartlepool</x:v>
      </x:c>
      <x:c r="D8" s="11" t="n">
        <x:v>6702</x:v>
      </x:c>
      <x:c r="E8" s="11" t="n">
        <x:v>6577</x:v>
      </x:c>
      <x:c r="F8" s="11" t="n">
        <x:v>1061</x:v>
      </x:c>
      <x:c r="G8" s="11" t="n">
        <x:v>1064</x:v>
      </x:c>
      <x:c r="H8" s="11" t="n">
        <x:v>37</x:v>
      </x:c>
      <x:c r="I8" s="11" t="n">
        <x:v>50</x:v>
      </x:c>
      <x:c r="J8" s="11" t="n">
        <x:v>955194</x:v>
      </x:c>
      <x:c r="K8" s="11" t="n">
        <x:v>937603</x:v>
      </x:c>
      <x:c r="L8" s="11" t="n">
        <x:v>50091</x:v>
      </x:c>
      <x:c r="M8" s="11" t="n">
        <x:v>50542</x:v>
      </x:c>
      <x:c r="N8" s="11" t="n">
        <x:v>30445</x:v>
      </x:c>
      <x:c r="O8" s="11" t="n">
        <x:v>7021</x:v>
      </x:c>
      <x:c r="P8" s="11" t="n">
        <x:v>30</x:v>
      </x:c>
      <x:c r="Q8" s="2"/>
      <x:c r="R8" s="2"/>
      <x:c r="S8" s="2"/>
      <x:c r="T8" s="2"/>
      <x:c r="U8" s="2"/>
    </x:row>
    <x:row r="9" ht="26" customHeight="1">
      <x:c r="A9" s="2" t="str">
        <x:v>E06000001</x:v>
      </x:c>
      <x:c r="B9" s="2" t="str">
        <x:v>State-funded secondary</x:v>
      </x:c>
      <x:c r="C9" s="2" t="str">
        <x:v>Hartlepool</x:v>
      </x:c>
      <x:c r="D9" s="11" t="n">
        <x:v>5759</x:v>
      </x:c>
      <x:c r="E9" s="11" t="n">
        <x:v>5700</x:v>
      </x:c>
      <x:c r="F9" s="11" t="n">
        <x:v>1464</x:v>
      </x:c>
      <x:c r="G9" s="11" t="n">
        <x:v>1479</x:v>
      </x:c>
      <x:c r="H9" s="11" t="n">
        <x:v>234</x:v>
      </x:c>
      <x:c r="I9" s="11" t="n">
        <x:v>287</x:v>
      </x:c>
      <x:c r="J9" s="11" t="n">
        <x:v>812804</x:v>
      </x:c>
      <x:c r="K9" s="11" t="n">
        <x:v>802793</x:v>
      </x:c>
      <x:c r="L9" s="11" t="n">
        <x:v>73150</x:v>
      </x:c>
      <x:c r="M9" s="11" t="n">
        <x:v>74900</x:v>
      </x:c>
      <x:c r="N9" s="11" t="n">
        <x:v>23266</x:v>
      </x:c>
      <x:c r="O9" s="11" t="n">
        <x:v>32267</x:v>
      </x:c>
      <x:c r="P9" s="11" t="n">
        <x:v>5</x:v>
      </x:c>
      <x:c r="Q9" s="2"/>
      <x:c r="R9" s="2"/>
      <x:c r="S9" s="2"/>
      <x:c r="T9" s="2"/>
      <x:c r="U9" s="2"/>
    </x:row>
    <x:row r="10" ht="26" customHeight="1">
      <x:c r="A10" s="2" t="str">
        <x:v>E06000002</x:v>
      </x:c>
      <x:c r="B10" s="2" t="str">
        <x:v>State-funded primary</x:v>
      </x:c>
      <x:c r="C10" s="2" t="str">
        <x:v>Middlesbrough</x:v>
      </x:c>
      <x:c r="D10" s="11" t="n">
        <x:v>12037</x:v>
      </x:c>
      <x:c r="E10" s="11" t="n">
        <x:v>11790</x:v>
      </x:c>
      <x:c r="F10" s="11" t="n">
        <x:v>2027</x:v>
      </x:c>
      <x:c r="G10" s="11" t="n">
        <x:v>1978</x:v>
      </x:c>
      <x:c r="H10" s="11" t="n">
        <x:v>142</x:v>
      </x:c>
      <x:c r="I10" s="11" t="n">
        <x:v>116</x:v>
      </x:c>
      <x:c r="J10" s="11" t="n">
        <x:v>1686424</x:v>
      </x:c>
      <x:c r="K10" s="11" t="n">
        <x:v>1670995</x:v>
      </x:c>
      <x:c r="L10" s="11" t="n">
        <x:v>91854</x:v>
      </x:c>
      <x:c r="M10" s="11" t="n">
        <x:v>88849</x:v>
      </x:c>
      <x:c r="N10" s="11" t="n">
        <x:v>47064</x:v>
      </x:c>
      <x:c r="O10" s="11" t="n">
        <x:v>16992</x:v>
      </x:c>
      <x:c r="P10" s="11" t="n">
        <x:v>41</x:v>
      </x:c>
      <x:c r="Q10" s="2"/>
      <x:c r="R10" s="2"/>
      <x:c r="S10" s="2"/>
      <x:c r="T10" s="2"/>
      <x:c r="U10" s="2"/>
    </x:row>
    <x:row r="11" ht="26" customHeight="1">
      <x:c r="A11" s="2" t="str">
        <x:v>E06000002</x:v>
      </x:c>
      <x:c r="B11" s="2" t="str">
        <x:v>State-funded secondary</x:v>
      </x:c>
      <x:c r="C11" s="2" t="str">
        <x:v>Middlesbrough</x:v>
      </x:c>
      <x:c r="D11" s="11" t="n">
        <x:v>9015</x:v>
      </x:c>
      <x:c r="E11" s="11" t="n">
        <x:v>9102</x:v>
      </x:c>
      <x:c r="F11" s="11" t="n">
        <x:v>2509</x:v>
      </x:c>
      <x:c r="G11" s="11" t="n">
        <x:v>2534</x:v>
      </x:c>
      <x:c r="H11" s="11" t="n">
        <x:v>447</x:v>
      </x:c>
      <x:c r="I11" s="11" t="n">
        <x:v>386</x:v>
      </x:c>
      <x:c r="J11" s="11" t="n">
        <x:v>1234814</x:v>
      </x:c>
      <x:c r="K11" s="11" t="n">
        <x:v>1257822</x:v>
      </x:c>
      <x:c r="L11" s="11" t="n">
        <x:v>117935</x:v>
      </x:c>
      <x:c r="M11" s="11" t="n">
        <x:v>119190</x:v>
      </x:c>
      <x:c r="N11" s="11" t="n">
        <x:v>36347</x:v>
      </x:c>
      <x:c r="O11" s="11" t="n">
        <x:v>52602</x:v>
      </x:c>
      <x:c r="P11" s="11" t="n">
        <x:v>8</x:v>
      </x:c>
      <x:c r="Q11" s="2"/>
      <x:c r="R11" s="2"/>
      <x:c r="S11" s="2"/>
      <x:c r="T11" s="2"/>
      <x:c r="U11" s="2"/>
    </x:row>
    <x:row r="12" ht="26" customHeight="1">
      <x:c r="A12" s="2" t="str">
        <x:v>E06000003</x:v>
      </x:c>
      <x:c r="B12" s="2" t="str">
        <x:v>State-funded primary</x:v>
      </x:c>
      <x:c r="C12" s="2" t="str">
        <x:v>Redcar and Cleveland</x:v>
      </x:c>
      <x:c r="D12" s="11" t="n">
        <x:v>9057</x:v>
      </x:c>
      <x:c r="E12" s="11" t="n">
        <x:v>8762</x:v>
      </x:c>
      <x:c r="F12" s="11" t="n">
        <x:v>1494</x:v>
      </x:c>
      <x:c r="G12" s="11" t="n">
        <x:v>1470</x:v>
      </x:c>
      <x:c r="H12" s="11" t="n">
        <x:v>86</x:v>
      </x:c>
      <x:c r="I12" s="11" t="n">
        <x:v>102</x:v>
      </x:c>
      <x:c r="J12" s="11" t="n">
        <x:v>1284429</x:v>
      </x:c>
      <x:c r="K12" s="11" t="n">
        <x:v>1241645</x:v>
      </x:c>
      <x:c r="L12" s="11" t="n">
        <x:v>70538</x:v>
      </x:c>
      <x:c r="M12" s="11" t="n">
        <x:v>69288</x:v>
      </x:c>
      <x:c r="N12" s="11" t="n">
        <x:v>36657</x:v>
      </x:c>
      <x:c r="O12" s="11" t="n">
        <x:v>12515</x:v>
      </x:c>
      <x:c r="P12" s="11" t="n">
        <x:v>44</x:v>
      </x:c>
      <x:c r="Q12" s="2"/>
      <x:c r="R12" s="2"/>
      <x:c r="S12" s="2"/>
      <x:c r="T12" s="2"/>
      <x:c r="U12" s="2"/>
    </x:row>
    <x:row r="13" ht="26" customHeight="1">
      <x:c r="A13" s="2" t="str">
        <x:v>E06000003</x:v>
      </x:c>
      <x:c r="B13" s="2" t="str">
        <x:v>State-funded secondary</x:v>
      </x:c>
      <x:c r="C13" s="2" t="str">
        <x:v>Redcar and Cleveland</x:v>
      </x:c>
      <x:c r="D13" s="11" t="n">
        <x:v>8377</x:v>
      </x:c>
      <x:c r="E13" s="11" t="n">
        <x:v>8369</x:v>
      </x:c>
      <x:c r="F13" s="11" t="n">
        <x:v>1946</x:v>
      </x:c>
      <x:c r="G13" s="11" t="n">
        <x:v>2247</x:v>
      </x:c>
      <x:c r="H13" s="11" t="n">
        <x:v>313</x:v>
      </x:c>
      <x:c r="I13" s="11" t="n">
        <x:v>365</x:v>
      </x:c>
      <x:c r="J13" s="11" t="n">
        <x:v>1171354</x:v>
      </x:c>
      <x:c r="K13" s="11" t="n">
        <x:v>1171283</x:v>
      </x:c>
      <x:c r="L13" s="11" t="n">
        <x:v>99418</x:v>
      </x:c>
      <x:c r="M13" s="11" t="n">
        <x:v>108836</x:v>
      </x:c>
      <x:c r="N13" s="11" t="n">
        <x:v>44679</x:v>
      </x:c>
      <x:c r="O13" s="11" t="n">
        <x:v>37038</x:v>
      </x:c>
      <x:c r="P13" s="11" t="n">
        <x:v>10</x:v>
      </x:c>
      <x:c r="Q13" s="2"/>
      <x:c r="R13" s="2"/>
      <x:c r="S13" s="2"/>
      <x:c r="T13" s="2"/>
      <x:c r="U13" s="2"/>
    </x:row>
    <x:row r="14" ht="26" customHeight="1">
      <x:c r="A14" s="2" t="str">
        <x:v>E06000004</x:v>
      </x:c>
      <x:c r="B14" s="2" t="str">
        <x:v>State-funded primary</x:v>
      </x:c>
      <x:c r="C14" s="2" t="str">
        <x:v>Stockton-on-Tees</x:v>
      </x:c>
      <x:c r="D14" s="11" t="n">
        <x:v>14433</x:v>
      </x:c>
      <x:c r="E14" s="11" t="n">
        <x:v>14137</x:v>
      </x:c>
      <x:c r="F14" s="11" t="n">
        <x:v>2051</x:v>
      </x:c>
      <x:c r="G14" s="11" t="n">
        <x:v>2087</x:v>
      </x:c>
      <x:c r="H14" s="11" t="n">
        <x:v>89</x:v>
      </x:c>
      <x:c r="I14" s="11" t="n">
        <x:v>103</x:v>
      </x:c>
      <x:c r="J14" s="11" t="n">
        <x:v>2052083</x:v>
      </x:c>
      <x:c r="K14" s="11" t="n">
        <x:v>2012437</x:v>
      </x:c>
      <x:c r="L14" s="11" t="n">
        <x:v>101374</x:v>
      </x:c>
      <x:c r="M14" s="11" t="n">
        <x:v>103643</x:v>
      </x:c>
      <x:c r="N14" s="11" t="n">
        <x:v>57165</x:v>
      </x:c>
      <x:c r="O14" s="11" t="n">
        <x:v>14092</x:v>
      </x:c>
      <x:c r="P14" s="11" t="n">
        <x:v>60</x:v>
      </x:c>
      <x:c r="Q14" s="2"/>
      <x:c r="R14" s="2"/>
      <x:c r="S14" s="2"/>
      <x:c r="T14" s="2"/>
      <x:c r="U14" s="2"/>
    </x:row>
    <x:row r="15" ht="26" customHeight="1">
      <x:c r="A15" s="2" t="str">
        <x:v>E06000004</x:v>
      </x:c>
      <x:c r="B15" s="2" t="str">
        <x:v>State-funded secondary</x:v>
      </x:c>
      <x:c r="C15" s="2" t="str">
        <x:v>Stockton-on-Tees</x:v>
      </x:c>
      <x:c r="D15" s="11" t="n">
        <x:v>12286</x:v>
      </x:c>
      <x:c r="E15" s="11" t="n">
        <x:v>12130</x:v>
      </x:c>
      <x:c r="F15" s="11" t="n">
        <x:v>3023</x:v>
      </x:c>
      <x:c r="G15" s="11" t="n">
        <x:v>2987</x:v>
      </x:c>
      <x:c r="H15" s="11" t="n">
        <x:v>492</x:v>
      </x:c>
      <x:c r="I15" s="11" t="n">
        <x:v>422</x:v>
      </x:c>
      <x:c r="J15" s="11" t="n">
        <x:v>1708974</x:v>
      </x:c>
      <x:c r="K15" s="11" t="n">
        <x:v>1687689</x:v>
      </x:c>
      <x:c r="L15" s="11" t="n">
        <x:v>148468</x:v>
      </x:c>
      <x:c r="M15" s="11" t="n">
        <x:v>141560</x:v>
      </x:c>
      <x:c r="N15" s="11" t="n">
        <x:v>53565</x:v>
      </x:c>
      <x:c r="O15" s="11" t="n">
        <x:v>51053</x:v>
      </x:c>
      <x:c r="P15" s="11" t="n">
        <x:v>13</x:v>
      </x:c>
      <x:c r="Q15" s="2"/>
      <x:c r="R15" s="2"/>
      <x:c r="S15" s="2"/>
      <x:c r="T15" s="2"/>
      <x:c r="U15" s="2"/>
    </x:row>
    <x:row r="16" ht="26" customHeight="1">
      <x:c r="A16" s="2" t="str">
        <x:v>E06000005</x:v>
      </x:c>
      <x:c r="B16" s="2" t="str">
        <x:v>State-funded primary</x:v>
      </x:c>
      <x:c r="C16" s="2" t="str">
        <x:v>Darlington</x:v>
      </x:c>
      <x:c r="D16" s="11" t="n">
        <x:v>7128</x:v>
      </x:c>
      <x:c r="E16" s="11" t="n">
        <x:v>6971</x:v>
      </x:c>
      <x:c r="F16" s="11" t="n">
        <x:v>1155</x:v>
      </x:c>
      <x:c r="G16" s="11" t="n">
        <x:v>1249</x:v>
      </x:c>
      <x:c r="H16" s="11" t="n">
        <x:v>115</x:v>
      </x:c>
      <x:c r="I16" s="11" t="n">
        <x:v>75</x:v>
      </x:c>
      <x:c r="J16" s="11" t="n">
        <x:v>1008225</x:v>
      </x:c>
      <x:c r="K16" s="11" t="n">
        <x:v>998871</x:v>
      </x:c>
      <x:c r="L16" s="11" t="n">
        <x:v>53919</x:v>
      </x:c>
      <x:c r="M16" s="11" t="n">
        <x:v>58416</x:v>
      </x:c>
      <x:c r="N16" s="11" t="n">
        <x:v>34128</x:v>
      </x:c>
      <x:c r="O16" s="11" t="n">
        <x:v>7159</x:v>
      </x:c>
      <x:c r="P16" s="11" t="n">
        <x:v>29</x:v>
      </x:c>
      <x:c r="Q16" s="2"/>
      <x:c r="R16" s="2"/>
      <x:c r="S16" s="2"/>
      <x:c r="T16" s="2"/>
      <x:c r="U16" s="2"/>
    </x:row>
    <x:row r="17" ht="26" customHeight="1">
      <x:c r="A17" s="2" t="str">
        <x:v>E06000005</x:v>
      </x:c>
      <x:c r="B17" s="2" t="str">
        <x:v>State-funded secondary</x:v>
      </x:c>
      <x:c r="C17" s="2" t="str">
        <x:v>Darlington</x:v>
      </x:c>
      <x:c r="D17" s="11" t="n">
        <x:v>6578</x:v>
      </x:c>
      <x:c r="E17" s="11" t="n">
        <x:v>6415</x:v>
      </x:c>
      <x:c r="F17" s="11" t="n">
        <x:v>1522</x:v>
      </x:c>
      <x:c r="G17" s="11" t="n">
        <x:v>1534</x:v>
      </x:c>
      <x:c r="H17" s="11" t="n">
        <x:v>189</x:v>
      </x:c>
      <x:c r="I17" s="11" t="n">
        <x:v>212</x:v>
      </x:c>
      <x:c r="J17" s="11" t="n">
        <x:v>917965</x:v>
      </x:c>
      <x:c r="K17" s="11" t="n">
        <x:v>901103</x:v>
      </x:c>
      <x:c r="L17" s="11" t="n">
        <x:v>71401</x:v>
      </x:c>
      <x:c r="M17" s="11" t="n">
        <x:v>73507</x:v>
      </x:c>
      <x:c r="N17" s="11" t="n">
        <x:v>34638</x:v>
      </x:c>
      <x:c r="O17" s="11" t="n">
        <x:v>20821</x:v>
      </x:c>
      <x:c r="P17" s="11" t="n">
        <x:v>8</x:v>
      </x:c>
      <x:c r="Q17" s="2"/>
      <x:c r="R17" s="2"/>
      <x:c r="S17" s="2"/>
      <x:c r="T17" s="2"/>
      <x:c r="U17" s="2"/>
    </x:row>
    <x:row r="18" ht="26" customHeight="1">
      <x:c r="A18" s="2" t="str">
        <x:v>E06000006</x:v>
      </x:c>
      <x:c r="B18" s="2" t="str">
        <x:v>State-funded primary</x:v>
      </x:c>
      <x:c r="C18" s="2" t="str">
        <x:v>Halton</x:v>
      </x:c>
      <x:c r="D18" s="11" t="n">
        <x:v>8442</x:v>
      </x:c>
      <x:c r="E18" s="11" t="n">
        <x:v>8232</x:v>
      </x:c>
      <x:c r="F18" s="11" t="n">
        <x:v>1330</x:v>
      </x:c>
      <x:c r="G18" s="11" t="n">
        <x:v>1402</x:v>
      </x:c>
      <x:c r="H18" s="11" t="n">
        <x:v>33</x:v>
      </x:c>
      <x:c r="I18" s="11" t="n">
        <x:v>57</x:v>
      </x:c>
      <x:c r="J18" s="11" t="n">
        <x:v>1203887</x:v>
      </x:c>
      <x:c r="K18" s="11" t="n">
        <x:v>1173971</x:v>
      </x:c>
      <x:c r="L18" s="11" t="n">
        <x:v>62226</x:v>
      </x:c>
      <x:c r="M18" s="11" t="n">
        <x:v>65965</x:v>
      </x:c>
      <x:c r="N18" s="11" t="n">
        <x:v>38772</x:v>
      </x:c>
      <x:c r="O18" s="11" t="n">
        <x:v>8799</x:v>
      </x:c>
      <x:c r="P18" s="11" t="n">
        <x:v>49</x:v>
      </x:c>
      <x:c r="Q18" s="2"/>
      <x:c r="R18" s="2"/>
      <x:c r="S18" s="2"/>
      <x:c r="T18" s="2"/>
      <x:c r="U18" s="2"/>
    </x:row>
    <x:row r="19" ht="26" customHeight="1">
      <x:c r="A19" s="2" t="str">
        <x:v>E06000006</x:v>
      </x:c>
      <x:c r="B19" s="2" t="str">
        <x:v>State-funded secondary</x:v>
      </x:c>
      <x:c r="C19" s="2" t="str">
        <x:v>Halton</x:v>
      </x:c>
      <x:c r="D19" s="11" t="n">
        <x:v>7977</x:v>
      </x:c>
      <x:c r="E19" s="11" t="n">
        <x:v>7957</x:v>
      </x:c>
      <x:c r="F19" s="11" t="n">
        <x:v>2028</x:v>
      </x:c>
      <x:c r="G19" s="11" t="n">
        <x:v>2227</x:v>
      </x:c>
      <x:c r="H19" s="11" t="n">
        <x:v>300</x:v>
      </x:c>
      <x:c r="I19" s="11" t="n">
        <x:v>331</x:v>
      </x:c>
      <x:c r="J19" s="11" t="n">
        <x:v>1102140</x:v>
      </x:c>
      <x:c r="K19" s="11" t="n">
        <x:v>1085924</x:v>
      </x:c>
      <x:c r="L19" s="11" t="n">
        <x:v>97013</x:v>
      </x:c>
      <x:c r="M19" s="11" t="n">
        <x:v>104486</x:v>
      </x:c>
      <x:c r="N19" s="11" t="n">
        <x:v>44358</x:v>
      </x:c>
      <x:c r="O19" s="11" t="n">
        <x:v>38588</x:v>
      </x:c>
      <x:c r="P19" s="11" t="n">
        <x:v>8</x:v>
      </x:c>
      <x:c r="Q19" s="2"/>
      <x:c r="R19" s="2"/>
      <x:c r="S19" s="2"/>
      <x:c r="T19" s="2"/>
      <x:c r="U19" s="2"/>
    </x:row>
    <x:row r="20" ht="26" customHeight="1">
      <x:c r="A20" s="2" t="str">
        <x:v>E06000007</x:v>
      </x:c>
      <x:c r="B20" s="2" t="str">
        <x:v>State-funded primary</x:v>
      </x:c>
      <x:c r="C20" s="2" t="str">
        <x:v>Warrington</x:v>
      </x:c>
      <x:c r="D20" s="11" t="n">
        <x:v>15422</x:v>
      </x:c>
      <x:c r="E20" s="11" t="n">
        <x:v>15056</x:v>
      </x:c>
      <x:c r="F20" s="11" t="n">
        <x:v>1782</x:v>
      </x:c>
      <x:c r="G20" s="11" t="n">
        <x:v>1790</x:v>
      </x:c>
      <x:c r="H20" s="11" t="n">
        <x:v>63</x:v>
      </x:c>
      <x:c r="I20" s="11" t="n">
        <x:v>68</x:v>
      </x:c>
      <x:c r="J20" s="11" t="n">
        <x:v>2179784</x:v>
      </x:c>
      <x:c r="K20" s="11" t="n">
        <x:v>2126930</x:v>
      </x:c>
      <x:c r="L20" s="11" t="n">
        <x:v>95079</x:v>
      </x:c>
      <x:c r="M20" s="11" t="n">
        <x:v>94754</x:v>
      </x:c>
      <x:c r="N20" s="11" t="n">
        <x:v>58099</x:v>
      </x:c>
      <x:c r="O20" s="11" t="n">
        <x:v>7414</x:v>
      </x:c>
      <x:c r="P20" s="11" t="n">
        <x:v>69</x:v>
      </x:c>
      <x:c r="Q20" s="2"/>
      <x:c r="R20" s="2"/>
      <x:c r="S20" s="2"/>
      <x:c r="T20" s="2"/>
      <x:c r="U20" s="2"/>
    </x:row>
    <x:row r="21" ht="26" customHeight="1">
      <x:c r="A21" s="2" t="str">
        <x:v>E06000007</x:v>
      </x:c>
      <x:c r="B21" s="2" t="str">
        <x:v>State-funded secondary</x:v>
      </x:c>
      <x:c r="C21" s="2" t="str">
        <x:v>Warrington</x:v>
      </x:c>
      <x:c r="D21" s="11" t="n">
        <x:v>13698</x:v>
      </x:c>
      <x:c r="E21" s="11" t="n">
        <x:v>13677</x:v>
      </x:c>
      <x:c r="F21" s="11" t="n">
        <x:v>2467</x:v>
      </x:c>
      <x:c r="G21" s="11" t="n">
        <x:v>2676</x:v>
      </x:c>
      <x:c r="H21" s="11" t="n">
        <x:v>376</x:v>
      </x:c>
      <x:c r="I21" s="11" t="n">
        <x:v>373</x:v>
      </x:c>
      <x:c r="J21" s="11" t="n">
        <x:v>1920165</x:v>
      </x:c>
      <x:c r="K21" s="11" t="n">
        <x:v>1902861</x:v>
      </x:c>
      <x:c r="L21" s="11" t="n">
        <x:v>131897</x:v>
      </x:c>
      <x:c r="M21" s="11" t="n">
        <x:v>137445</x:v>
      </x:c>
      <x:c r="N21" s="11" t="n">
        <x:v>69748</x:v>
      </x:c>
      <x:c r="O21" s="11" t="n">
        <x:v>33849</x:v>
      </x:c>
      <x:c r="P21" s="11" t="n">
        <x:v>13</x:v>
      </x:c>
      <x:c r="Q21" s="2"/>
      <x:c r="R21" s="2"/>
      <x:c r="S21" s="2"/>
      <x:c r="T21" s="2"/>
      <x:c r="U21" s="2"/>
    </x:row>
    <x:row r="22" ht="26" customHeight="1">
      <x:c r="A22" s="2" t="str">
        <x:v>E06000008</x:v>
      </x:c>
      <x:c r="B22" s="2" t="str">
        <x:v>State-funded primary</x:v>
      </x:c>
      <x:c r="C22" s="2" t="str">
        <x:v>Blackburn with Darwen</x:v>
      </x:c>
      <x:c r="D22" s="11" t="n">
        <x:v>13328</x:v>
      </x:c>
      <x:c r="E22" s="11" t="n">
        <x:v>13044</x:v>
      </x:c>
      <x:c r="F22" s="11" t="n">
        <x:v>1720</x:v>
      </x:c>
      <x:c r="G22" s="11" t="n">
        <x:v>1843</x:v>
      </x:c>
      <x:c r="H22" s="11" t="n">
        <x:v>140</x:v>
      </x:c>
      <x:c r="I22" s="11" t="n">
        <x:v>122</x:v>
      </x:c>
      <x:c r="J22" s="11" t="n">
        <x:v>1892855</x:v>
      </x:c>
      <x:c r="K22" s="11" t="n">
        <x:v>1852947</x:v>
      </x:c>
      <x:c r="L22" s="11" t="n">
        <x:v>89906</x:v>
      </x:c>
      <x:c r="M22" s="11" t="n">
        <x:v>91241</x:v>
      </x:c>
      <x:c r="N22" s="11" t="n">
        <x:v>51760</x:v>
      </x:c>
      <x:c r="O22" s="11" t="n">
        <x:v>10507</x:v>
      </x:c>
      <x:c r="P22" s="11" t="n">
        <x:v>56</x:v>
      </x:c>
      <x:c r="Q22" s="2"/>
      <x:c r="R22" s="2"/>
      <x:c r="S22" s="2"/>
      <x:c r="T22" s="2"/>
      <x:c r="U22" s="2"/>
    </x:row>
    <x:row r="23" ht="26" customHeight="1">
      <x:c r="A23" s="2" t="str">
        <x:v>E06000008</x:v>
      </x:c>
      <x:c r="B23" s="2" t="str">
        <x:v>State-funded secondary</x:v>
      </x:c>
      <x:c r="C23" s="2" t="str">
        <x:v>Blackburn with Darwen</x:v>
      </x:c>
      <x:c r="D23" s="11" t="n">
        <x:v>11130</x:v>
      </x:c>
      <x:c r="E23" s="11" t="n">
        <x:v>11033</x:v>
      </x:c>
      <x:c r="F23" s="11" t="n">
        <x:v>2167</x:v>
      </x:c>
      <x:c r="G23" s="11" t="n">
        <x:v>2694</x:v>
      </x:c>
      <x:c r="H23" s="11" t="n">
        <x:v>285</x:v>
      </x:c>
      <x:c r="I23" s="11" t="n">
        <x:v>362</x:v>
      </x:c>
      <x:c r="J23" s="11" t="n">
        <x:v>1545226</x:v>
      </x:c>
      <x:c r="K23" s="11" t="n">
        <x:v>1537962</x:v>
      </x:c>
      <x:c r="L23" s="11" t="n">
        <x:v>107899</x:v>
      </x:c>
      <x:c r="M23" s="11" t="n">
        <x:v>126039</x:v>
      </x:c>
      <x:c r="N23" s="11" t="n">
        <x:v>61152</x:v>
      </x:c>
      <x:c r="O23" s="11" t="n">
        <x:v>33631</x:v>
      </x:c>
      <x:c r="P23" s="11" t="n">
        <x:v>12</x:v>
      </x:c>
      <x:c r="Q23" s="2"/>
      <x:c r="R23" s="2"/>
      <x:c r="S23" s="2"/>
      <x:c r="T23" s="2"/>
      <x:c r="U23" s="2"/>
    </x:row>
    <x:row r="24" ht="26" customHeight="1">
      <x:c r="A24" s="2" t="str">
        <x:v>E06000009</x:v>
      </x:c>
      <x:c r="B24" s="2" t="str">
        <x:v>State-funded primary</x:v>
      </x:c>
      <x:c r="C24" s="2" t="str">
        <x:v>Blackpool</x:v>
      </x:c>
      <x:c r="D24" s="11" t="n">
        <x:v>9545</x:v>
      </x:c>
      <x:c r="E24" s="11" t="n">
        <x:v>9246</x:v>
      </x:c>
      <x:c r="F24" s="11" t="n">
        <x:v>1633</x:v>
      </x:c>
      <x:c r="G24" s="11" t="n">
        <x:v>1586</x:v>
      </x:c>
      <x:c r="H24" s="11" t="n">
        <x:v>76</x:v>
      </x:c>
      <x:c r="I24" s="11" t="n">
        <x:v>44</x:v>
      </x:c>
      <x:c r="J24" s="11" t="n">
        <x:v>1344586</x:v>
      </x:c>
      <x:c r="K24" s="11" t="n">
        <x:v>1285453</x:v>
      </x:c>
      <x:c r="L24" s="11" t="n">
        <x:v>74241</x:v>
      </x:c>
      <x:c r="M24" s="11" t="n">
        <x:v>71400</x:v>
      </x:c>
      <x:c r="N24" s="11" t="n">
        <x:v>32299</x:v>
      </x:c>
      <x:c r="O24" s="11" t="n">
        <x:v>18043</x:v>
      </x:c>
      <x:c r="P24" s="11" t="n">
        <x:v>30</x:v>
      </x:c>
      <x:c r="Q24" s="2"/>
      <x:c r="R24" s="2"/>
      <x:c r="S24" s="2"/>
      <x:c r="T24" s="2"/>
      <x:c r="U24" s="2"/>
    </x:row>
    <x:row r="25" ht="26" customHeight="1">
      <x:c r="A25" s="2" t="str">
        <x:v>E06000009</x:v>
      </x:c>
      <x:c r="B25" s="2" t="str">
        <x:v>State-funded secondary</x:v>
      </x:c>
      <x:c r="C25" s="2" t="str">
        <x:v>Blackpool</x:v>
      </x:c>
      <x:c r="D25" s="11" t="n">
        <x:v>7592</x:v>
      </x:c>
      <x:c r="E25" s="11" t="n">
        <x:v>7593</x:v>
      </x:c>
      <x:c r="F25" s="11" t="n">
        <x:v>2123</x:v>
      </x:c>
      <x:c r="G25" s="11" t="n">
        <x:v>1804</x:v>
      </x:c>
      <x:c r="H25" s="11" t="n">
        <x:v>324</x:v>
      </x:c>
      <x:c r="I25" s="11" t="n">
        <x:v>209</x:v>
      </x:c>
      <x:c r="J25" s="11" t="n">
        <x:v>989829</x:v>
      </x:c>
      <x:c r="K25" s="11" t="n">
        <x:v>992830</x:v>
      </x:c>
      <x:c r="L25" s="11" t="n">
        <x:v>90094</x:v>
      </x:c>
      <x:c r="M25" s="11" t="n">
        <x:v>75151</x:v>
      </x:c>
      <x:c r="N25" s="11" t="n">
        <x:v>24017</x:v>
      </x:c>
      <x:c r="O25" s="11" t="n">
        <x:v>33328</x:v>
      </x:c>
      <x:c r="P25" s="11" t="n">
        <x:v>8</x:v>
      </x:c>
      <x:c r="Q25" s="2"/>
      <x:c r="R25" s="2"/>
      <x:c r="S25" s="2"/>
      <x:c r="T25" s="2"/>
      <x:c r="U25" s="2"/>
    </x:row>
    <x:row r="26" ht="26" customHeight="1">
      <x:c r="A26" s="2" t="str">
        <x:v>E06000010</x:v>
      </x:c>
      <x:c r="B26" s="2" t="str">
        <x:v>State-funded primary</x:v>
      </x:c>
      <x:c r="C26" s="2" t="str">
        <x:v>Kingston upon Hull, City of</x:v>
      </x:c>
      <x:c r="D26" s="11" t="n">
        <x:v>20110</x:v>
      </x:c>
      <x:c r="E26" s="11" t="n">
        <x:v>19690</x:v>
      </x:c>
      <x:c r="F26" s="11" t="n">
        <x:v>3302</x:v>
      </x:c>
      <x:c r="G26" s="11" t="n">
        <x:v>3338</x:v>
      </x:c>
      <x:c r="H26" s="11" t="n">
        <x:v>188</x:v>
      </x:c>
      <x:c r="I26" s="11" t="n">
        <x:v>227</x:v>
      </x:c>
      <x:c r="J26" s="11" t="n">
        <x:v>2840399</x:v>
      </x:c>
      <x:c r="K26" s="11" t="n">
        <x:v>2761784</x:v>
      </x:c>
      <x:c r="L26" s="11" t="n">
        <x:v>152794</x:v>
      </x:c>
      <x:c r="M26" s="11" t="n">
        <x:v>152920</x:v>
      </x:c>
      <x:c r="N26" s="11" t="n">
        <x:v>81668</x:v>
      </x:c>
      <x:c r="O26" s="11" t="n">
        <x:v>28518</x:v>
      </x:c>
      <x:c r="P26" s="11" t="n">
        <x:v>70</x:v>
      </x:c>
      <x:c r="Q26" s="2"/>
      <x:c r="R26" s="2"/>
      <x:c r="S26" s="2"/>
      <x:c r="T26" s="2"/>
      <x:c r="U26" s="2"/>
    </x:row>
    <x:row r="27" ht="26" customHeight="1">
      <x:c r="A27" s="2" t="str">
        <x:v>E06000010</x:v>
      </x:c>
      <x:c r="B27" s="2" t="str">
        <x:v>State-funded secondary</x:v>
      </x:c>
      <x:c r="C27" s="2" t="str">
        <x:v>Kingston upon Hull, City of</x:v>
      </x:c>
      <x:c r="D27" s="11" t="n">
        <x:v>16323</x:v>
      </x:c>
      <x:c r="E27" s="11" t="n">
        <x:v>16223</x:v>
      </x:c>
      <x:c r="F27" s="11" t="n">
        <x:v>3902</x:v>
      </x:c>
      <x:c r="G27" s="11" t="n">
        <x:v>3973</x:v>
      </x:c>
      <x:c r="H27" s="11" t="n">
        <x:v>633</x:v>
      </x:c>
      <x:c r="I27" s="11" t="n">
        <x:v>638</x:v>
      </x:c>
      <x:c r="J27" s="11" t="n">
        <x:v>2262846</x:v>
      </x:c>
      <x:c r="K27" s="11" t="n">
        <x:v>2225525</x:v>
      </x:c>
      <x:c r="L27" s="11" t="n">
        <x:v>185316</x:v>
      </x:c>
      <x:c r="M27" s="11" t="n">
        <x:v>185766</x:v>
      </x:c>
      <x:c r="N27" s="11" t="n">
        <x:v>62913</x:v>
      </x:c>
      <x:c r="O27" s="11" t="n">
        <x:v>75166</x:v>
      </x:c>
      <x:c r="P27" s="11" t="n">
        <x:v>13</x:v>
      </x:c>
      <x:c r="Q27" s="2"/>
      <x:c r="R27" s="2"/>
      <x:c r="S27" s="2"/>
      <x:c r="T27" s="2"/>
      <x:c r="U27" s="2"/>
    </x:row>
    <x:row r="28" ht="26" customHeight="1">
      <x:c r="A28" s="2" t="str">
        <x:v>E06000011</x:v>
      </x:c>
      <x:c r="B28" s="2" t="str">
        <x:v>State-funded primary</x:v>
      </x:c>
      <x:c r="C28" s="2" t="str">
        <x:v>East Riding of Yorkshire</x:v>
      </x:c>
      <x:c r="D28" s="11" t="n">
        <x:v>20226</x:v>
      </x:c>
      <x:c r="E28" s="11" t="n">
        <x:v>20010</x:v>
      </x:c>
      <x:c r="F28" s="11" t="n">
        <x:v>2589</x:v>
      </x:c>
      <x:c r="G28" s="11" t="n">
        <x:v>2600</x:v>
      </x:c>
      <x:c r="H28" s="11" t="n">
        <x:v>119</x:v>
      </x:c>
      <x:c r="I28" s="11" t="n">
        <x:v>138</x:v>
      </x:c>
      <x:c r="J28" s="11" t="n">
        <x:v>2920954</x:v>
      </x:c>
      <x:c r="K28" s="11" t="n">
        <x:v>2870591</x:v>
      </x:c>
      <x:c r="L28" s="11" t="n">
        <x:v>141066</x:v>
      </x:c>
      <x:c r="M28" s="11" t="n">
        <x:v>139590</x:v>
      </x:c>
      <x:c r="N28" s="11" t="n">
        <x:v>78770</x:v>
      </x:c>
      <x:c r="O28" s="11" t="n">
        <x:v>15805</x:v>
      </x:c>
      <x:c r="P28" s="11" t="n">
        <x:v>123</x:v>
      </x:c>
      <x:c r="Q28" s="2"/>
      <x:c r="R28" s="2"/>
      <x:c r="S28" s="2"/>
      <x:c r="T28" s="2"/>
      <x:c r="U28" s="2"/>
    </x:row>
    <x:row r="29" ht="26" customHeight="1">
      <x:c r="A29" s="2" t="str">
        <x:v>E06000011</x:v>
      </x:c>
      <x:c r="B29" s="2" t="str">
        <x:v>State-funded secondary</x:v>
      </x:c>
      <x:c r="C29" s="2" t="str">
        <x:v>East Riding of Yorkshire</x:v>
      </x:c>
      <x:c r="D29" s="11" t="n">
        <x:v>18160</x:v>
      </x:c>
      <x:c r="E29" s="11" t="n">
        <x:v>18130</x:v>
      </x:c>
      <x:c r="F29" s="11" t="n">
        <x:v>3993</x:v>
      </x:c>
      <x:c r="G29" s="11" t="n">
        <x:v>4135</x:v>
      </x:c>
      <x:c r="H29" s="11" t="n">
        <x:v>474</x:v>
      </x:c>
      <x:c r="I29" s="11" t="n">
        <x:v>460</x:v>
      </x:c>
      <x:c r="J29" s="11" t="n">
        <x:v>2557362</x:v>
      </x:c>
      <x:c r="K29" s="11" t="n">
        <x:v>2537539</x:v>
      </x:c>
      <x:c r="L29" s="11" t="n">
        <x:v>192485</x:v>
      </x:c>
      <x:c r="M29" s="11" t="n">
        <x:v>196587</x:v>
      </x:c>
      <x:c r="N29" s="11" t="n">
        <x:v>106363</x:v>
      </x:c>
      <x:c r="O29" s="11" t="n">
        <x:v>54912</x:v>
      </x:c>
      <x:c r="P29" s="11" t="n">
        <x:v>18</x:v>
      </x:c>
      <x:c r="Q29" s="2"/>
      <x:c r="R29" s="2"/>
      <x:c r="S29" s="2"/>
      <x:c r="T29" s="2"/>
      <x:c r="U29" s="2"/>
    </x:row>
    <x:row r="30" ht="26" customHeight="1">
      <x:c r="A30" s="2" t="str">
        <x:v>E06000012</x:v>
      </x:c>
      <x:c r="B30" s="2" t="str">
        <x:v>State-funded primary</x:v>
      </x:c>
      <x:c r="C30" s="2" t="str">
        <x:v>North East Lincolnshire</x:v>
      </x:c>
      <x:c r="D30" s="11" t="n">
        <x:v>11467</x:v>
      </x:c>
      <x:c r="E30" s="11" t="n">
        <x:v>11223</x:v>
      </x:c>
      <x:c r="F30" s="11" t="n">
        <x:v>1730</x:v>
      </x:c>
      <x:c r="G30" s="11" t="n">
        <x:v>1881</x:v>
      </x:c>
      <x:c r="H30" s="11" t="n">
        <x:v>96</x:v>
      </x:c>
      <x:c r="I30" s="11" t="n">
        <x:v>118</x:v>
      </x:c>
      <x:c r="J30" s="11" t="n">
        <x:v>1583590</x:v>
      </x:c>
      <x:c r="K30" s="11" t="n">
        <x:v>1531502</x:v>
      </x:c>
      <x:c r="L30" s="11" t="n">
        <x:v>79755</x:v>
      </x:c>
      <x:c r="M30" s="11" t="n">
        <x:v>85246</x:v>
      </x:c>
      <x:c r="N30" s="11" t="n">
        <x:v>43629</x:v>
      </x:c>
      <x:c r="O30" s="11" t="n">
        <x:v>16684</x:v>
      </x:c>
      <x:c r="P30" s="11" t="n">
        <x:v>49</x:v>
      </x:c>
      <x:c r="Q30" s="2"/>
      <x:c r="R30" s="2"/>
      <x:c r="S30" s="2"/>
      <x:c r="T30" s="2"/>
      <x:c r="U30" s="2"/>
    </x:row>
    <x:row r="31" ht="26" customHeight="1">
      <x:c r="A31" s="2" t="str">
        <x:v>E06000012</x:v>
      </x:c>
      <x:c r="B31" s="2" t="str">
        <x:v>State-funded secondary</x:v>
      </x:c>
      <x:c r="C31" s="2" t="str">
        <x:v>North East Lincolnshire</x:v>
      </x:c>
      <x:c r="D31" s="11" t="n">
        <x:v>9135</x:v>
      </x:c>
      <x:c r="E31" s="11" t="n">
        <x:v>8998</x:v>
      </x:c>
      <x:c r="F31" s="11" t="n">
        <x:v>2378</x:v>
      </x:c>
      <x:c r="G31" s="11" t="n">
        <x:v>2720</x:v>
      </x:c>
      <x:c r="H31" s="11" t="n">
        <x:v>400</x:v>
      </x:c>
      <x:c r="I31" s="11" t="n">
        <x:v>428</x:v>
      </x:c>
      <x:c r="J31" s="11" t="n">
        <x:v>1213706</x:v>
      </x:c>
      <x:c r="K31" s="11" t="n">
        <x:v>1172840</x:v>
      </x:c>
      <x:c r="L31" s="11" t="n">
        <x:v>110163</x:v>
      </x:c>
      <x:c r="M31" s="11" t="n">
        <x:v>116083</x:v>
      </x:c>
      <x:c r="N31" s="11" t="n">
        <x:v>48991</x:v>
      </x:c>
      <x:c r="O31" s="11" t="n">
        <x:v>39077</x:v>
      </x:c>
      <x:c r="P31" s="11" t="n">
        <x:v>10</x:v>
      </x:c>
      <x:c r="Q31" s="2"/>
      <x:c r="R31" s="2"/>
      <x:c r="S31" s="2"/>
      <x:c r="T31" s="2"/>
      <x:c r="U31" s="2"/>
    </x:row>
    <x:row r="32" ht="26" customHeight="1">
      <x:c r="A32" s="2" t="str">
        <x:v>E06000013</x:v>
      </x:c>
      <x:c r="B32" s="2" t="str">
        <x:v>State-funded primary</x:v>
      </x:c>
      <x:c r="C32" s="2" t="str">
        <x:v>North Lincolnshire</x:v>
      </x:c>
      <x:c r="D32" s="11" t="n">
        <x:v>11177</x:v>
      </x:c>
      <x:c r="E32" s="11" t="n">
        <x:v>10863</x:v>
      </x:c>
      <x:c r="F32" s="11" t="n">
        <x:v>1521</x:v>
      </x:c>
      <x:c r="G32" s="11" t="n">
        <x:v>1604</x:v>
      </x:c>
      <x:c r="H32" s="11" t="n">
        <x:v>90</x:v>
      </x:c>
      <x:c r="I32" s="11" t="n">
        <x:v>85</x:v>
      </x:c>
      <x:c r="J32" s="11" t="n">
        <x:v>1591804</x:v>
      </x:c>
      <x:c r="K32" s="11" t="n">
        <x:v>1548407</x:v>
      </x:c>
      <x:c r="L32" s="11" t="n">
        <x:v>77987</x:v>
      </x:c>
      <x:c r="M32" s="11" t="n">
        <x:v>82489</x:v>
      </x:c>
      <x:c r="N32" s="11" t="n">
        <x:v>47278</x:v>
      </x:c>
      <x:c r="O32" s="11" t="n">
        <x:v>12082</x:v>
      </x:c>
      <x:c r="P32" s="11" t="n">
        <x:v>62</x:v>
      </x:c>
      <x:c r="Q32" s="2"/>
      <x:c r="R32" s="2"/>
      <x:c r="S32" s="2"/>
      <x:c r="T32" s="2"/>
      <x:c r="U32" s="2"/>
    </x:row>
    <x:row r="33" ht="26" customHeight="1">
      <x:c r="A33" s="2" t="str">
        <x:v>E06000013</x:v>
      </x:c>
      <x:c r="B33" s="2" t="str">
        <x:v>State-funded secondary</x:v>
      </x:c>
      <x:c r="C33" s="2" t="str">
        <x:v>North Lincolnshire</x:v>
      </x:c>
      <x:c r="D33" s="11" t="n">
        <x:v>10406</x:v>
      </x:c>
      <x:c r="E33" s="11" t="n">
        <x:v>10180</x:v>
      </x:c>
      <x:c r="F33" s="11" t="n">
        <x:v>2377</x:v>
      </x:c>
      <x:c r="G33" s="11" t="n">
        <x:v>2413</x:v>
      </x:c>
      <x:c r="H33" s="11" t="n">
        <x:v>364</x:v>
      </x:c>
      <x:c r="I33" s="11" t="n">
        <x:v>304</x:v>
      </x:c>
      <x:c r="J33" s="11" t="n">
        <x:v>1461463</x:v>
      </x:c>
      <x:c r="K33" s="11" t="n">
        <x:v>1419970</x:v>
      </x:c>
      <x:c r="L33" s="11" t="n">
        <x:v>120716</x:v>
      </x:c>
      <x:c r="M33" s="11" t="n">
        <x:v>115896</x:v>
      </x:c>
      <x:c r="N33" s="11" t="n">
        <x:v>52915</x:v>
      </x:c>
      <x:c r="O33" s="11" t="n">
        <x:v>38512</x:v>
      </x:c>
      <x:c r="P33" s="11" t="n">
        <x:v>14</x:v>
      </x:c>
      <x:c r="Q33" s="2"/>
      <x:c r="R33" s="2"/>
      <x:c r="S33" s="2"/>
      <x:c r="T33" s="2"/>
      <x:c r="U33" s="2"/>
    </x:row>
    <x:row r="34" ht="26" customHeight="1">
      <x:c r="A34" s="2" t="str">
        <x:v>E06000014</x:v>
      </x:c>
      <x:c r="B34" s="2" t="str">
        <x:v>State-funded primary</x:v>
      </x:c>
      <x:c r="C34" s="2" t="str">
        <x:v>York</x:v>
      </x:c>
      <x:c r="D34" s="11" t="n">
        <x:v>11125</x:v>
      </x:c>
      <x:c r="E34" s="11" t="n">
        <x:v>10816</x:v>
      </x:c>
      <x:c r="F34" s="11" t="n">
        <x:v>1395</x:v>
      </x:c>
      <x:c r="G34" s="11" t="n">
        <x:v>1440</x:v>
      </x:c>
      <x:c r="H34" s="11" t="n">
        <x:v>113</x:v>
      </x:c>
      <x:c r="I34" s="11" t="n">
        <x:v>123</x:v>
      </x:c>
      <x:c r="J34" s="11" t="n">
        <x:v>1588810</x:v>
      </x:c>
      <x:c r="K34" s="11" t="n">
        <x:v>1538155</x:v>
      </x:c>
      <x:c r="L34" s="11" t="n">
        <x:v>77190</x:v>
      </x:c>
      <x:c r="M34" s="11" t="n">
        <x:v>78092</x:v>
      </x:c>
      <x:c r="N34" s="11" t="n">
        <x:v>44445</x:v>
      </x:c>
      <x:c r="O34" s="11" t="n">
        <x:v>8475</x:v>
      </x:c>
      <x:c r="P34" s="11" t="n">
        <x:v>50</x:v>
      </x:c>
      <x:c r="Q34" s="2"/>
      <x:c r="R34" s="2"/>
      <x:c r="S34" s="2"/>
      <x:c r="T34" s="2"/>
      <x:c r="U34" s="2"/>
    </x:row>
    <x:row r="35" ht="26" customHeight="1">
      <x:c r="A35" s="2" t="str">
        <x:v>E06000014</x:v>
      </x:c>
      <x:c r="B35" s="2" t="str">
        <x:v>State-funded secondary</x:v>
      </x:c>
      <x:c r="C35" s="2" t="str">
        <x:v>York</x:v>
      </x:c>
      <x:c r="D35" s="11" t="n">
        <x:v>9893</x:v>
      </x:c>
      <x:c r="E35" s="11" t="n">
        <x:v>9807</x:v>
      </x:c>
      <x:c r="F35" s="11" t="n">
        <x:v>2162</x:v>
      </x:c>
      <x:c r="G35" s="11" t="n">
        <x:v>2126</x:v>
      </x:c>
      <x:c r="H35" s="11" t="n">
        <x:v>444</x:v>
      </x:c>
      <x:c r="I35" s="11" t="n">
        <x:v>473</x:v>
      </x:c>
      <x:c r="J35" s="11" t="n">
        <x:v>1396875</x:v>
      </x:c>
      <x:c r="K35" s="11" t="n">
        <x:v>1380801</x:v>
      </x:c>
      <x:c r="L35" s="11" t="n">
        <x:v>121117</x:v>
      </x:c>
      <x:c r="M35" s="11" t="n">
        <x:v>125507</x:v>
      </x:c>
      <x:c r="N35" s="11" t="n">
        <x:v>52122</x:v>
      </x:c>
      <x:c r="O35" s="11" t="n">
        <x:v>43098</x:v>
      </x:c>
      <x:c r="P35" s="11" t="n">
        <x:v>9</x:v>
      </x:c>
      <x:c r="Q35" s="2"/>
      <x:c r="R35" s="2"/>
      <x:c r="S35" s="2"/>
      <x:c r="T35" s="2"/>
      <x:c r="U35" s="2"/>
    </x:row>
    <x:row r="36" ht="26" customHeight="1">
      <x:c r="A36" s="2" t="str">
        <x:v>E06000015</x:v>
      </x:c>
      <x:c r="B36" s="2" t="str">
        <x:v>State-funded primary</x:v>
      </x:c>
      <x:c r="C36" s="2" t="str">
        <x:v>Derby</x:v>
      </x:c>
      <x:c r="D36" s="11" t="n">
        <x:v>20531</x:v>
      </x:c>
      <x:c r="E36" s="11" t="n">
        <x:v>20094</x:v>
      </x:c>
      <x:c r="F36" s="11" t="n">
        <x:v>3460</x:v>
      </x:c>
      <x:c r="G36" s="11" t="n">
        <x:v>3486</x:v>
      </x:c>
      <x:c r="H36" s="11" t="n">
        <x:v>221</x:v>
      </x:c>
      <x:c r="I36" s="11" t="n">
        <x:v>256</x:v>
      </x:c>
      <x:c r="J36" s="11" t="n">
        <x:v>2820256</x:v>
      </x:c>
      <x:c r="K36" s="11" t="n">
        <x:v>2720294</x:v>
      </x:c>
      <x:c r="L36" s="11" t="n">
        <x:v>156025</x:v>
      </x:c>
      <x:c r="M36" s="11" t="n">
        <x:v>151732</x:v>
      </x:c>
      <x:c r="N36" s="11" t="n">
        <x:v>83773</x:v>
      </x:c>
      <x:c r="O36" s="11" t="n">
        <x:v>26707</x:v>
      </x:c>
      <x:c r="P36" s="11" t="n">
        <x:v>74</x:v>
      </x:c>
      <x:c r="Q36" s="2"/>
      <x:c r="R36" s="2"/>
      <x:c r="S36" s="2"/>
      <x:c r="T36" s="2"/>
      <x:c r="U36" s="2"/>
    </x:row>
    <x:row r="37" ht="26" customHeight="1">
      <x:c r="A37" s="2" t="str">
        <x:v>E06000015</x:v>
      </x:c>
      <x:c r="B37" s="2" t="str">
        <x:v>State-funded secondary</x:v>
      </x:c>
      <x:c r="C37" s="2" t="str">
        <x:v>Derby</x:v>
      </x:c>
      <x:c r="D37" s="11" t="n">
        <x:v>18353</x:v>
      </x:c>
      <x:c r="E37" s="11" t="n">
        <x:v>18250</x:v>
      </x:c>
      <x:c r="F37" s="11" t="n">
        <x:v>4200</x:v>
      </x:c>
      <x:c r="G37" s="11" t="n">
        <x:v>4295</x:v>
      </x:c>
      <x:c r="H37" s="11" t="n">
        <x:v>522</x:v>
      </x:c>
      <x:c r="I37" s="11" t="n">
        <x:v>521</x:v>
      </x:c>
      <x:c r="J37" s="11" t="n">
        <x:v>2474599</x:v>
      </x:c>
      <x:c r="K37" s="11" t="n">
        <x:v>2437808</x:v>
      </x:c>
      <x:c r="L37" s="11" t="n">
        <x:v>195519</x:v>
      </x:c>
      <x:c r="M37" s="11" t="n">
        <x:v>195423</x:v>
      </x:c>
      <x:c r="N37" s="11" t="n">
        <x:v>100839</x:v>
      </x:c>
      <x:c r="O37" s="11" t="n">
        <x:v>47494</x:v>
      </x:c>
      <x:c r="P37" s="11" t="n">
        <x:v>16</x:v>
      </x:c>
      <x:c r="Q37" s="2"/>
      <x:c r="R37" s="2"/>
      <x:c r="S37" s="2"/>
      <x:c r="T37" s="2"/>
      <x:c r="U37" s="2"/>
    </x:row>
    <x:row r="38" ht="26" customHeight="1">
      <x:c r="A38" s="2" t="str">
        <x:v>E06000016</x:v>
      </x:c>
      <x:c r="B38" s="2" t="str">
        <x:v>State-funded primary</x:v>
      </x:c>
      <x:c r="C38" s="2" t="str">
        <x:v>Leicester</x:v>
      </x:c>
      <x:c r="D38" s="11" t="n">
        <x:v>28837</x:v>
      </x:c>
      <x:c r="E38" s="11" t="n">
        <x:v>28074</x:v>
      </x:c>
      <x:c r="F38" s="11" t="n">
        <x:v>4643</x:v>
      </x:c>
      <x:c r="G38" s="11" t="n">
        <x:v>4079</x:v>
      </x:c>
      <x:c r="H38" s="11" t="n">
        <x:v>407</x:v>
      </x:c>
      <x:c r="I38" s="11" t="n">
        <x:v>394</x:v>
      </x:c>
      <x:c r="J38" s="11" t="n">
        <x:v>4213239</x:v>
      </x:c>
      <x:c r="K38" s="11" t="n">
        <x:v>4147355</x:v>
      </x:c>
      <x:c r="L38" s="11" t="n">
        <x:v>225190</x:v>
      </x:c>
      <x:c r="M38" s="11" t="n">
        <x:v>205267</x:v>
      </x:c>
      <x:c r="N38" s="11" t="n">
        <x:v>114318</x:v>
      </x:c>
      <x:c r="O38" s="11" t="n">
        <x:v>33916</x:v>
      </x:c>
      <x:c r="P38" s="11" t="n">
        <x:v>82</x:v>
      </x:c>
      <x:c r="Q38" s="2"/>
      <x:c r="R38" s="2"/>
      <x:c r="S38" s="2"/>
      <x:c r="T38" s="2"/>
      <x:c r="U38" s="2"/>
    </x:row>
    <x:row r="39" ht="26" customHeight="1">
      <x:c r="A39" s="2" t="str">
        <x:v>E06000016</x:v>
      </x:c>
      <x:c r="B39" s="2" t="str">
        <x:v>State-funded secondary</x:v>
      </x:c>
      <x:c r="C39" s="2" t="str">
        <x:v>Leicester</x:v>
      </x:c>
      <x:c r="D39" s="11" t="n">
        <x:v>23909</x:v>
      </x:c>
      <x:c r="E39" s="11" t="n">
        <x:v>23792</x:v>
      </x:c>
      <x:c r="F39" s="11" t="n">
        <x:v>4692</x:v>
      </x:c>
      <x:c r="G39" s="11" t="n">
        <x:v>4533</x:v>
      </x:c>
      <x:c r="H39" s="11" t="n">
        <x:v>754</x:v>
      </x:c>
      <x:c r="I39" s="11" t="n">
        <x:v>692</x:v>
      </x:c>
      <x:c r="J39" s="11" t="n">
        <x:v>3517735</x:v>
      </x:c>
      <x:c r="K39" s="11" t="n">
        <x:v>3494158</x:v>
      </x:c>
      <x:c r="L39" s="11" t="n">
        <x:v>248451</x:v>
      </x:c>
      <x:c r="M39" s="11" t="n">
        <x:v>237488</x:v>
      </x:c>
      <x:c r="N39" s="11" t="n">
        <x:v>102219</x:v>
      </x:c>
      <x:c r="O39" s="11" t="n">
        <x:v>74243</x:v>
      </x:c>
      <x:c r="P39" s="11" t="n">
        <x:v>21</x:v>
      </x:c>
      <x:c r="Q39" s="2"/>
      <x:c r="R39" s="2"/>
      <x:c r="S39" s="2"/>
      <x:c r="T39" s="2"/>
      <x:c r="U39" s="2"/>
    </x:row>
    <x:row r="40" ht="26" customHeight="1">
      <x:c r="A40" s="2" t="str">
        <x:v>E06000017</x:v>
      </x:c>
      <x:c r="B40" s="2" t="str">
        <x:v>State-funded primary</x:v>
      </x:c>
      <x:c r="C40" s="2" t="str">
        <x:v>Rutland</x:v>
      </x:c>
      <x:c r="D40" s="11" t="n">
        <x:v>2319</x:v>
      </x:c>
      <x:c r="E40" s="11" t="n">
        <x:v>2213</x:v>
      </x:c>
      <x:c r="F40" s="11" t="n">
        <x:v>225</x:v>
      </x:c>
      <x:c r="G40" s="11" t="n">
        <x:v>221</x:v>
      </x:c>
      <x:c r="H40" s="11" t="n">
        <x:v>35</x:v>
      </x:c>
      <x:c r="I40" s="11" t="n">
        <x:v>33</x:v>
      </x:c>
      <x:c r="J40" s="11" t="n">
        <x:v>322528</x:v>
      </x:c>
      <x:c r="K40" s="11" t="n">
        <x:v>308539</x:v>
      </x:c>
      <x:c r="L40" s="11" t="n">
        <x:v>14397</x:v>
      </x:c>
      <x:c r="M40" s="11" t="n">
        <x:v>13384</x:v>
      </x:c>
      <x:c r="N40" s="11" t="n">
        <x:v>8272</x:v>
      </x:c>
      <x:c r="O40" s="11" t="n">
        <x:v>869</x:v>
      </x:c>
      <x:c r="P40" s="11" t="n">
        <x:v>17</x:v>
      </x:c>
      <x:c r="Q40" s="2"/>
      <x:c r="R40" s="2"/>
      <x:c r="S40" s="2"/>
      <x:c r="T40" s="2"/>
      <x:c r="U40" s="2"/>
    </x:row>
    <x:row r="41" ht="26" customHeight="1">
      <x:c r="A41" s="2" t="str">
        <x:v>E06000017</x:v>
      </x:c>
      <x:c r="B41" s="2" t="str">
        <x:v>State-funded secondary</x:v>
      </x:c>
      <x:c r="C41" s="2" t="str">
        <x:v>Rutland</x:v>
      </x:c>
      <x:c r="D41" s="11" t="n">
        <x:v>2964</x:v>
      </x:c>
      <x:c r="E41" s="11" t="n">
        <x:v>2954</x:v>
      </x:c>
      <x:c r="F41" s="11" t="n">
        <x:v>490</x:v>
      </x:c>
      <x:c r="G41" s="11" t="n">
        <x:v>553</x:v>
      </x:c>
      <x:c r="H41" s="11" t="n">
        <x:v>83</x:v>
      </x:c>
      <x:c r="I41" s="11" t="n">
        <x:v>77</x:v>
      </x:c>
      <x:c r="J41" s="11" t="n">
        <x:v>416890</x:v>
      </x:c>
      <x:c r="K41" s="11" t="n">
        <x:v>417407</x:v>
      </x:c>
      <x:c r="L41" s="11" t="n">
        <x:v>27061</x:v>
      </x:c>
      <x:c r="M41" s="11" t="n">
        <x:v>30004</x:v>
      </x:c>
      <x:c r="N41" s="11" t="n">
        <x:v>16226</x:v>
      </x:c>
      <x:c r="O41" s="11" t="n">
        <x:v>7771</x:v>
      </x:c>
      <x:c r="P41" s="11" t="n">
        <x:v>3</x:v>
      </x:c>
      <x:c r="Q41" s="2"/>
      <x:c r="R41" s="2"/>
      <x:c r="S41" s="2"/>
      <x:c r="T41" s="2"/>
      <x:c r="U41" s="2"/>
    </x:row>
    <x:row r="42" ht="26" customHeight="1">
      <x:c r="A42" s="2" t="str">
        <x:v>E06000018</x:v>
      </x:c>
      <x:c r="B42" s="2" t="str">
        <x:v>State-funded primary</x:v>
      </x:c>
      <x:c r="C42" s="2" t="str">
        <x:v>Nottingham</x:v>
      </x:c>
      <x:c r="D42" s="11" t="n">
        <x:v>23076</x:v>
      </x:c>
      <x:c r="E42" s="11" t="n">
        <x:v>22600</x:v>
      </x:c>
      <x:c r="F42" s="11" t="n">
        <x:v>4297</x:v>
      </x:c>
      <x:c r="G42" s="11" t="n">
        <x:v>3838</x:v>
      </x:c>
      <x:c r="H42" s="11" t="n">
        <x:v>319</x:v>
      </x:c>
      <x:c r="I42" s="11" t="n">
        <x:v>316</x:v>
      </x:c>
      <x:c r="J42" s="11" t="n">
        <x:v>3066527</x:v>
      </x:c>
      <x:c r="K42" s="11" t="n">
        <x:v>2940307</x:v>
      </x:c>
      <x:c r="L42" s="11" t="n">
        <x:v>178456</x:v>
      </x:c>
      <x:c r="M42" s="11" t="n">
        <x:v>164822</x:v>
      </x:c>
      <x:c r="N42" s="11" t="n">
        <x:v>74306</x:v>
      </x:c>
      <x:c r="O42" s="11" t="n">
        <x:v>44593</x:v>
      </x:c>
      <x:c r="P42" s="11" t="n">
        <x:v>75</x:v>
      </x:c>
      <x:c r="Q42" s="2"/>
      <x:c r="R42" s="2"/>
      <x:c r="S42" s="2"/>
      <x:c r="T42" s="2"/>
      <x:c r="U42" s="2"/>
    </x:row>
    <x:row r="43" ht="26" customHeight="1">
      <x:c r="A43" s="2" t="str">
        <x:v>E06000018</x:v>
      </x:c>
      <x:c r="B43" s="2" t="str">
        <x:v>State-funded secondary</x:v>
      </x:c>
      <x:c r="C43" s="2" t="str">
        <x:v>Nottingham</x:v>
      </x:c>
      <x:c r="D43" s="11" t="n">
        <x:v>18982</x:v>
      </x:c>
      <x:c r="E43" s="11" t="n">
        <x:v>18896</x:v>
      </x:c>
      <x:c r="F43" s="11" t="n">
        <x:v>4390</x:v>
      </x:c>
      <x:c r="G43" s="11" t="n">
        <x:v>4295</x:v>
      </x:c>
      <x:c r="H43" s="11" t="n">
        <x:v>715</x:v>
      </x:c>
      <x:c r="I43" s="11" t="n">
        <x:v>650</x:v>
      </x:c>
      <x:c r="J43" s="11" t="n">
        <x:v>2471393</x:v>
      </x:c>
      <x:c r="K43" s="11" t="n">
        <x:v>2452932</x:v>
      </x:c>
      <x:c r="L43" s="11" t="n">
        <x:v>201672</x:v>
      </x:c>
      <x:c r="M43" s="11" t="n">
        <x:v>194961</x:v>
      </x:c>
      <x:c r="N43" s="11" t="n">
        <x:v>70202</x:v>
      </x:c>
      <x:c r="O43" s="11" t="n">
        <x:v>76787</x:v>
      </x:c>
      <x:c r="P43" s="11" t="n">
        <x:v>19</x:v>
      </x:c>
      <x:c r="Q43" s="2"/>
      <x:c r="R43" s="2"/>
      <x:c r="S43" s="2"/>
      <x:c r="T43" s="2"/>
      <x:c r="U43" s="2"/>
    </x:row>
    <x:row r="44" ht="26" customHeight="1">
      <x:c r="A44" s="2" t="str">
        <x:v>E06000019</x:v>
      </x:c>
      <x:c r="B44" s="2" t="str">
        <x:v>State-funded primary</x:v>
      </x:c>
      <x:c r="C44" s="2" t="str">
        <x:v>Herefordshire, County of</x:v>
      </x:c>
      <x:c r="D44" s="11" t="n">
        <x:v>11239</x:v>
      </x:c>
      <x:c r="E44" s="11" t="n">
        <x:v>10992</x:v>
      </x:c>
      <x:c r="F44" s="11" t="n">
        <x:v>1355</x:v>
      </x:c>
      <x:c r="G44" s="11" t="n">
        <x:v>1191</x:v>
      </x:c>
      <x:c r="H44" s="11" t="n">
        <x:v>72</x:v>
      </x:c>
      <x:c r="I44" s="11" t="n">
        <x:v>90</x:v>
      </x:c>
      <x:c r="J44" s="11" t="n">
        <x:v>1590875</x:v>
      </x:c>
      <x:c r="K44" s="11" t="n">
        <x:v>1558133</x:v>
      </x:c>
      <x:c r="L44" s="11" t="n">
        <x:v>74700</x:v>
      </x:c>
      <x:c r="M44" s="11" t="n">
        <x:v>68932</x:v>
      </x:c>
      <x:c r="N44" s="11" t="n">
        <x:v>42450</x:v>
      </x:c>
      <x:c r="O44" s="11" t="n">
        <x:v>4471</x:v>
      </x:c>
      <x:c r="P44" s="11" t="n">
        <x:v>78</x:v>
      </x:c>
      <x:c r="Q44" s="2"/>
      <x:c r="R44" s="2"/>
      <x:c r="S44" s="2"/>
      <x:c r="T44" s="2"/>
      <x:c r="U44" s="2"/>
    </x:row>
    <x:row r="45" ht="26" customHeight="1">
      <x:c r="A45" s="2" t="str">
        <x:v>E06000019</x:v>
      </x:c>
      <x:c r="B45" s="2" t="str">
        <x:v>State-funded secondary</x:v>
      </x:c>
      <x:c r="C45" s="2" t="str">
        <x:v>Herefordshire, County of</x:v>
      </x:c>
      <x:c r="D45" s="11" t="n">
        <x:v>9512</x:v>
      </x:c>
      <x:c r="E45" s="11" t="n">
        <x:v>9552</x:v>
      </x:c>
      <x:c r="F45" s="11" t="n">
        <x:v>2020</x:v>
      </x:c>
      <x:c r="G45" s="11" t="n">
        <x:v>1891</x:v>
      </x:c>
      <x:c r="H45" s="11" t="n">
        <x:v>263</x:v>
      </x:c>
      <x:c r="I45" s="11" t="n">
        <x:v>280</x:v>
      </x:c>
      <x:c r="J45" s="11" t="n">
        <x:v>1319522</x:v>
      </x:c>
      <x:c r="K45" s="11" t="n">
        <x:v>1331164</x:v>
      </x:c>
      <x:c r="L45" s="11" t="n">
        <x:v>101246</x:v>
      </x:c>
      <x:c r="M45" s="11" t="n">
        <x:v>98503</x:v>
      </x:c>
      <x:c r="N45" s="11" t="n">
        <x:v>58149</x:v>
      </x:c>
      <x:c r="O45" s="11" t="n">
        <x:v>15818</x:v>
      </x:c>
      <x:c r="P45" s="11" t="n">
        <x:v>15</x:v>
      </x:c>
      <x:c r="Q45" s="2"/>
      <x:c r="R45" s="2"/>
      <x:c r="S45" s="2"/>
      <x:c r="T45" s="2"/>
      <x:c r="U45" s="2"/>
    </x:row>
    <x:row r="46" ht="26" customHeight="1">
      <x:c r="A46" s="2" t="str">
        <x:v>E06000020</x:v>
      </x:c>
      <x:c r="B46" s="2" t="str">
        <x:v>State-funded primary</x:v>
      </x:c>
      <x:c r="C46" s="2" t="str">
        <x:v>Telford and Wrekin</x:v>
      </x:c>
      <x:c r="D46" s="11" t="n">
        <x:v>14230</x:v>
      </x:c>
      <x:c r="E46" s="11" t="n">
        <x:v>14151</x:v>
      </x:c>
      <x:c r="F46" s="11" t="n">
        <x:v>1821</x:v>
      </x:c>
      <x:c r="G46" s="11" t="n">
        <x:v>1994</x:v>
      </x:c>
      <x:c r="H46" s="11" t="n">
        <x:v>109</x:v>
      </x:c>
      <x:c r="I46" s="11" t="n">
        <x:v>127</x:v>
      </x:c>
      <x:c r="J46" s="11" t="n">
        <x:v>2011632</x:v>
      </x:c>
      <x:c r="K46" s="11" t="n">
        <x:v>2007837</x:v>
      </x:c>
      <x:c r="L46" s="11" t="n">
        <x:v>97631</x:v>
      </x:c>
      <x:c r="M46" s="11" t="n">
        <x:v>100991</x:v>
      </x:c>
      <x:c r="N46" s="11" t="n">
        <x:v>61634</x:v>
      </x:c>
      <x:c r="O46" s="11" t="n">
        <x:v>14953</x:v>
      </x:c>
      <x:c r="P46" s="11" t="n">
        <x:v>56</x:v>
      </x:c>
      <x:c r="Q46" s="2"/>
      <x:c r="R46" s="2"/>
      <x:c r="S46" s="2"/>
      <x:c r="T46" s="2"/>
      <x:c r="U46" s="2"/>
    </x:row>
    <x:row r="47" ht="26" customHeight="1">
      <x:c r="A47" s="2" t="str">
        <x:v>E06000020</x:v>
      </x:c>
      <x:c r="B47" s="2" t="str">
        <x:v>State-funded secondary</x:v>
      </x:c>
      <x:c r="C47" s="2" t="str">
        <x:v>Telford and Wrekin</x:v>
      </x:c>
      <x:c r="D47" s="11" t="n">
        <x:v>12849</x:v>
      </x:c>
      <x:c r="E47" s="11" t="n">
        <x:v>12926</x:v>
      </x:c>
      <x:c r="F47" s="11" t="n">
        <x:v>2506</x:v>
      </x:c>
      <x:c r="G47" s="11" t="n">
        <x:v>2675</x:v>
      </x:c>
      <x:c r="H47" s="11" t="n">
        <x:v>376</x:v>
      </x:c>
      <x:c r="I47" s="11" t="n">
        <x:v>352</x:v>
      </x:c>
      <x:c r="J47" s="11" t="n">
        <x:v>1798812</x:v>
      </x:c>
      <x:c r="K47" s="11" t="n">
        <x:v>1813491</x:v>
      </x:c>
      <x:c r="L47" s="11" t="n">
        <x:v>128602</x:v>
      </x:c>
      <x:c r="M47" s="11" t="n">
        <x:v>133688</x:v>
      </x:c>
      <x:c r="N47" s="11" t="n">
        <x:v>64326</x:v>
      </x:c>
      <x:c r="O47" s="11" t="n">
        <x:v>38033</x:v>
      </x:c>
      <x:c r="P47" s="11" t="n">
        <x:v>13</x:v>
      </x:c>
      <x:c r="Q47" s="2"/>
      <x:c r="R47" s="2"/>
      <x:c r="S47" s="2"/>
      <x:c r="T47" s="2"/>
      <x:c r="U47" s="2"/>
    </x:row>
    <x:row r="48" ht="26" customHeight="1">
      <x:c r="A48" s="2" t="str">
        <x:v>E06000021</x:v>
      </x:c>
      <x:c r="B48" s="2" t="str">
        <x:v>State-funded primary</x:v>
      </x:c>
      <x:c r="C48" s="2" t="str">
        <x:v>Stoke-on-Trent</x:v>
      </x:c>
      <x:c r="D48" s="11" t="n">
        <x:v>19831</x:v>
      </x:c>
      <x:c r="E48" s="11" t="n">
        <x:v>19414</x:v>
      </x:c>
      <x:c r="F48" s="11" t="n">
        <x:v>2710</x:v>
      </x:c>
      <x:c r="G48" s="11" t="n">
        <x:v>2910</x:v>
      </x:c>
      <x:c r="H48" s="11" t="n">
        <x:v>181</x:v>
      </x:c>
      <x:c r="I48" s="11" t="n">
        <x:v>238</x:v>
      </x:c>
      <x:c r="J48" s="11" t="n">
        <x:v>2774360</x:v>
      </x:c>
      <x:c r="K48" s="11" t="n">
        <x:v>2716923</x:v>
      </x:c>
      <x:c r="L48" s="11" t="n">
        <x:v>133984</x:v>
      </x:c>
      <x:c r="M48" s="11" t="n">
        <x:v>139036</x:v>
      </x:c>
      <x:c r="N48" s="11" t="n">
        <x:v>79443</x:v>
      </x:c>
      <x:c r="O48" s="11" t="n">
        <x:v>23711</x:v>
      </x:c>
      <x:c r="P48" s="11" t="n">
        <x:v>71</x:v>
      </x:c>
      <x:c r="Q48" s="2"/>
      <x:c r="R48" s="2"/>
      <x:c r="S48" s="2"/>
      <x:c r="T48" s="2"/>
      <x:c r="U48" s="2"/>
    </x:row>
    <x:row r="49" ht="26" customHeight="1">
      <x:c r="A49" s="2" t="str">
        <x:v>E06000021</x:v>
      </x:c>
      <x:c r="B49" s="2" t="str">
        <x:v>State-funded secondary</x:v>
      </x:c>
      <x:c r="C49" s="2" t="str">
        <x:v>Stoke-on-Trent</x:v>
      </x:c>
      <x:c r="D49" s="11" t="n">
        <x:v>15382</x:v>
      </x:c>
      <x:c r="E49" s="11" t="n">
        <x:v>15556</x:v>
      </x:c>
      <x:c r="F49" s="11" t="n">
        <x:v>3561</x:v>
      </x:c>
      <x:c r="G49" s="11" t="n">
        <x:v>3795</x:v>
      </x:c>
      <x:c r="H49" s="11" t="n">
        <x:v>517</x:v>
      </x:c>
      <x:c r="I49" s="11" t="n">
        <x:v>527</x:v>
      </x:c>
      <x:c r="J49" s="11" t="n">
        <x:v>2129184</x:v>
      </x:c>
      <x:c r="K49" s="11" t="n">
        <x:v>2126963</x:v>
      </x:c>
      <x:c r="L49" s="11" t="n">
        <x:v>173385</x:v>
      </x:c>
      <x:c r="M49" s="11" t="n">
        <x:v>175472</x:v>
      </x:c>
      <x:c r="N49" s="11" t="n">
        <x:v>69267</x:v>
      </x:c>
      <x:c r="O49" s="11" t="n">
        <x:v>67695</x:v>
      </x:c>
      <x:c r="P49" s="11" t="n">
        <x:v>15</x:v>
      </x:c>
      <x:c r="Q49" s="2"/>
      <x:c r="R49" s="2"/>
      <x:c r="S49" s="2"/>
      <x:c r="T49" s="2"/>
      <x:c r="U49" s="2"/>
    </x:row>
    <x:row r="50" ht="26" customHeight="1">
      <x:c r="A50" s="2" t="str">
        <x:v>E06000022</x:v>
      </x:c>
      <x:c r="B50" s="2" t="str">
        <x:v>State-funded primary</x:v>
      </x:c>
      <x:c r="C50" s="2" t="str">
        <x:v>Bath and North East Somerset</x:v>
      </x:c>
      <x:c r="D50" s="11" t="n">
        <x:v>11122</x:v>
      </x:c>
      <x:c r="E50" s="11" t="n">
        <x:v>11032</x:v>
      </x:c>
      <x:c r="F50" s="11" t="n">
        <x:v>1292</x:v>
      </x:c>
      <x:c r="G50" s="11" t="n">
        <x:v>1180</x:v>
      </x:c>
      <x:c r="H50" s="11" t="n">
        <x:v>68</x:v>
      </x:c>
      <x:c r="I50" s="11" t="n">
        <x:v>86</x:v>
      </x:c>
      <x:c r="J50" s="11" t="n">
        <x:v>1569957</x:v>
      </x:c>
      <x:c r="K50" s="11" t="n">
        <x:v>1561418</x:v>
      </x:c>
      <x:c r="L50" s="11" t="n">
        <x:v>71352</x:v>
      </x:c>
      <x:c r="M50" s="11" t="n">
        <x:v>70665</x:v>
      </x:c>
      <x:c r="N50" s="11" t="n">
        <x:v>42102</x:v>
      </x:c>
      <x:c r="O50" s="11" t="n">
        <x:v>5848</x:v>
      </x:c>
      <x:c r="P50" s="11" t="n">
        <x:v>63</x:v>
      </x:c>
      <x:c r="Q50" s="2"/>
      <x:c r="R50" s="2"/>
      <x:c r="S50" s="2"/>
      <x:c r="T50" s="2"/>
      <x:c r="U50" s="2"/>
    </x:row>
    <x:row r="51" ht="26" customHeight="1">
      <x:c r="A51" s="2" t="str">
        <x:v>E06000022</x:v>
      </x:c>
      <x:c r="B51" s="2" t="str">
        <x:v>State-funded secondary</x:v>
      </x:c>
      <x:c r="C51" s="2" t="str">
        <x:v>Bath and North East Somerset</x:v>
      </x:c>
      <x:c r="D51" s="11" t="n">
        <x:v>11029</x:v>
      </x:c>
      <x:c r="E51" s="11" t="n">
        <x:v>10950</x:v>
      </x:c>
      <x:c r="F51" s="11" t="n">
        <x:v>2235</x:v>
      </x:c>
      <x:c r="G51" s="11" t="n">
        <x:v>2287</x:v>
      </x:c>
      <x:c r="H51" s="11" t="n">
        <x:v>352</x:v>
      </x:c>
      <x:c r="I51" s="11" t="n">
        <x:v>362</x:v>
      </x:c>
      <x:c r="J51" s="11" t="n">
        <x:v>1529248</x:v>
      </x:c>
      <x:c r="K51" s="11" t="n">
        <x:v>1518122</x:v>
      </x:c>
      <x:c r="L51" s="11" t="n">
        <x:v>118687</x:v>
      </x:c>
      <x:c r="M51" s="11" t="n">
        <x:v>120714</x:v>
      </x:c>
      <x:c r="N51" s="11" t="n">
        <x:v>65465</x:v>
      </x:c>
      <x:c r="O51" s="11" t="n">
        <x:v>24602</x:v>
      </x:c>
      <x:c r="P51" s="11" t="n">
        <x:v>14</x:v>
      </x:c>
      <x:c r="Q51" s="2"/>
      <x:c r="R51" s="2"/>
      <x:c r="S51" s="2"/>
      <x:c r="T51" s="2"/>
      <x:c r="U51" s="2"/>
    </x:row>
    <x:row r="52" ht="26" customHeight="1">
      <x:c r="A52" s="2" t="str">
        <x:v>E06000023</x:v>
      </x:c>
      <x:c r="B52" s="2" t="str">
        <x:v>State-funded primary</x:v>
      </x:c>
      <x:c r="C52" s="2" t="str">
        <x:v>Bristol, City of</x:v>
      </x:c>
      <x:c r="D52" s="11" t="n">
        <x:v>29566</x:v>
      </x:c>
      <x:c r="E52" s="11" t="n">
        <x:v>28784</x:v>
      </x:c>
      <x:c r="F52" s="11" t="n">
        <x:v>4657</x:v>
      </x:c>
      <x:c r="G52" s="11" t="n">
        <x:v>4624</x:v>
      </x:c>
      <x:c r="H52" s="11" t="n">
        <x:v>374</x:v>
      </x:c>
      <x:c r="I52" s="11" t="n">
        <x:v>430</x:v>
      </x:c>
      <x:c r="J52" s="11" t="n">
        <x:v>4121590</x:v>
      </x:c>
      <x:c r="K52" s="11" t="n">
        <x:v>3960254</x:v>
      </x:c>
      <x:c r="L52" s="11" t="n">
        <x:v>227837</x:v>
      </x:c>
      <x:c r="M52" s="11" t="n">
        <x:v>221197</x:v>
      </x:c>
      <x:c r="N52" s="11" t="n">
        <x:v>124647</x:v>
      </x:c>
      <x:c r="O52" s="11" t="n">
        <x:v>32607</x:v>
      </x:c>
      <x:c r="P52" s="11" t="n">
        <x:v>102</x:v>
      </x:c>
      <x:c r="Q52" s="2"/>
      <x:c r="R52" s="2"/>
      <x:c r="S52" s="2"/>
      <x:c r="T52" s="2"/>
      <x:c r="U52" s="2"/>
    </x:row>
    <x:row r="53" ht="26" customHeight="1">
      <x:c r="A53" s="2" t="str">
        <x:v>E06000023</x:v>
      </x:c>
      <x:c r="B53" s="2" t="str">
        <x:v>State-funded secondary</x:v>
      </x:c>
      <x:c r="C53" s="2" t="str">
        <x:v>Bristol, City of</x:v>
      </x:c>
      <x:c r="D53" s="11" t="n">
        <x:v>23121</x:v>
      </x:c>
      <x:c r="E53" s="11" t="n">
        <x:v>23239</x:v>
      </x:c>
      <x:c r="F53" s="11" t="n">
        <x:v>6032</x:v>
      </x:c>
      <x:c r="G53" s="11" t="n">
        <x:v>6440</x:v>
      </x:c>
      <x:c r="H53" s="11" t="n">
        <x:v>977</x:v>
      </x:c>
      <x:c r="I53" s="11" t="n">
        <x:v>1047</x:v>
      </x:c>
      <x:c r="J53" s="11" t="n">
        <x:v>3148162</x:v>
      </x:c>
      <x:c r="K53" s="11" t="n">
        <x:v>3144053</x:v>
      </x:c>
      <x:c r="L53" s="11" t="n">
        <x:v>290725</x:v>
      </x:c>
      <x:c r="M53" s="11" t="n">
        <x:v>304063</x:v>
      </x:c>
      <x:c r="N53" s="11" t="n">
        <x:v>154516</x:v>
      </x:c>
      <x:c r="O53" s="11" t="n">
        <x:v>74620</x:v>
      </x:c>
      <x:c r="P53" s="11" t="n">
        <x:v>24</x:v>
      </x:c>
      <x:c r="Q53" s="2"/>
      <x:c r="R53" s="2"/>
      <x:c r="S53" s="2"/>
      <x:c r="T53" s="2"/>
      <x:c r="U53" s="2"/>
    </x:row>
    <x:row r="54" ht="26" customHeight="1">
      <x:c r="A54" s="2" t="str">
        <x:v>E06000024</x:v>
      </x:c>
      <x:c r="B54" s="2" t="str">
        <x:v>State-funded primary</x:v>
      </x:c>
      <x:c r="C54" s="2" t="str">
        <x:v>North Somerset</x:v>
      </x:c>
      <x:c r="D54" s="11" t="n">
        <x:v>14350</x:v>
      </x:c>
      <x:c r="E54" s="11" t="n">
        <x:v>13989</x:v>
      </x:c>
      <x:c r="F54" s="11" t="n">
        <x:v>1841</x:v>
      </x:c>
      <x:c r="G54" s="11" t="n">
        <x:v>1741</x:v>
      </x:c>
      <x:c r="H54" s="11" t="n">
        <x:v>110</x:v>
      </x:c>
      <x:c r="I54" s="11" t="n">
        <x:v>116</x:v>
      </x:c>
      <x:c r="J54" s="11" t="n">
        <x:v>2024085</x:v>
      </x:c>
      <x:c r="K54" s="11" t="n">
        <x:v>1950556</x:v>
      </x:c>
      <x:c r="L54" s="11" t="n">
        <x:v>99248</x:v>
      </x:c>
      <x:c r="M54" s="11" t="n">
        <x:v>95675</x:v>
      </x:c>
      <x:c r="N54" s="11" t="n">
        <x:v>58929</x:v>
      </x:c>
      <x:c r="O54" s="11" t="n">
        <x:v>7752</x:v>
      </x:c>
      <x:c r="P54" s="11" t="n">
        <x:v>63</x:v>
      </x:c>
      <x:c r="Q54" s="2"/>
      <x:c r="R54" s="2"/>
      <x:c r="S54" s="2"/>
      <x:c r="T54" s="2"/>
      <x:c r="U54" s="2"/>
    </x:row>
    <x:row r="55" ht="26" customHeight="1">
      <x:c r="A55" s="2" t="str">
        <x:v>E06000024</x:v>
      </x:c>
      <x:c r="B55" s="2" t="str">
        <x:v>State-funded secondary</x:v>
      </x:c>
      <x:c r="C55" s="2" t="str">
        <x:v>North Somerset</x:v>
      </x:c>
      <x:c r="D55" s="11" t="n">
        <x:v>12838</x:v>
      </x:c>
      <x:c r="E55" s="11" t="n">
        <x:v>12731</x:v>
      </x:c>
      <x:c r="F55" s="11" t="n">
        <x:v>3038</x:v>
      </x:c>
      <x:c r="G55" s="11" t="n">
        <x:v>2976</x:v>
      </x:c>
      <x:c r="H55" s="11" t="n">
        <x:v>495</x:v>
      </x:c>
      <x:c r="I55" s="11" t="n">
        <x:v>485</x:v>
      </x:c>
      <x:c r="J55" s="11" t="n">
        <x:v>1753542</x:v>
      </x:c>
      <x:c r="K55" s="11" t="n">
        <x:v>1743937</x:v>
      </x:c>
      <x:c r="L55" s="11" t="n">
        <x:v>150759</x:v>
      </x:c>
      <x:c r="M55" s="11" t="n">
        <x:v>149675</x:v>
      </x:c>
      <x:c r="N55" s="11" t="n">
        <x:v>79919</x:v>
      </x:c>
      <x:c r="O55" s="11" t="n">
        <x:v>31126</x:v>
      </x:c>
      <x:c r="P55" s="11" t="n">
        <x:v>11</x:v>
      </x:c>
      <x:c r="Q55" s="2"/>
      <x:c r="R55" s="2"/>
      <x:c r="S55" s="2"/>
      <x:c r="T55" s="2"/>
      <x:c r="U55" s="2"/>
    </x:row>
    <x:row r="56" ht="26" customHeight="1">
      <x:c r="A56" s="2" t="str">
        <x:v>E06000025</x:v>
      </x:c>
      <x:c r="B56" s="2" t="str">
        <x:v>State-funded primary</x:v>
      </x:c>
      <x:c r="C56" s="2" t="str">
        <x:v>South Gloucestershire</x:v>
      </x:c>
      <x:c r="D56" s="11" t="n">
        <x:v>20549</x:v>
      </x:c>
      <x:c r="E56" s="11" t="n">
        <x:v>20094</x:v>
      </x:c>
      <x:c r="F56" s="11" t="n">
        <x:v>2857</x:v>
      </x:c>
      <x:c r="G56" s="11" t="n">
        <x:v>2544</x:v>
      </x:c>
      <x:c r="H56" s="11" t="n">
        <x:v>222</x:v>
      </x:c>
      <x:c r="I56" s="11" t="n">
        <x:v>197</x:v>
      </x:c>
      <x:c r="J56" s="11" t="n">
        <x:v>2895099</x:v>
      </x:c>
      <x:c r="K56" s="11" t="n">
        <x:v>2840664</x:v>
      </x:c>
      <x:c r="L56" s="11" t="n">
        <x:v>148911</x:v>
      </x:c>
      <x:c r="M56" s="11" t="n">
        <x:v>138951</x:v>
      </x:c>
      <x:c r="N56" s="11" t="n">
        <x:v>79888</x:v>
      </x:c>
      <x:c r="O56" s="11" t="n">
        <x:v>12876</x:v>
      </x:c>
      <x:c r="P56" s="11" t="n">
        <x:v>93</x:v>
      </x:c>
      <x:c r="Q56" s="2"/>
      <x:c r="R56" s="2"/>
      <x:c r="S56" s="2"/>
      <x:c r="T56" s="2"/>
      <x:c r="U56" s="2"/>
    </x:row>
    <x:row r="57" ht="26" customHeight="1">
      <x:c r="A57" s="2" t="str">
        <x:v>E06000025</x:v>
      </x:c>
      <x:c r="B57" s="2" t="str">
        <x:v>State-funded secondary</x:v>
      </x:c>
      <x:c r="C57" s="2" t="str">
        <x:v>South Gloucestershire</x:v>
      </x:c>
      <x:c r="D57" s="11" t="n">
        <x:v>15323</x:v>
      </x:c>
      <x:c r="E57" s="11" t="n">
        <x:v>15269</x:v>
      </x:c>
      <x:c r="F57" s="11" t="n">
        <x:v>3464</x:v>
      </x:c>
      <x:c r="G57" s="11" t="n">
        <x:v>3571</x:v>
      </x:c>
      <x:c r="H57" s="11" t="n">
        <x:v>587</x:v>
      </x:c>
      <x:c r="I57" s="11" t="n">
        <x:v>631</x:v>
      </x:c>
      <x:c r="J57" s="11" t="n">
        <x:v>2109147</x:v>
      </x:c>
      <x:c r="K57" s="11" t="n">
        <x:v>2105574</x:v>
      </x:c>
      <x:c r="L57" s="11" t="n">
        <x:v>174573</x:v>
      </x:c>
      <x:c r="M57" s="11" t="n">
        <x:v>180447</x:v>
      </x:c>
      <x:c r="N57" s="11" t="n">
        <x:v>96478</x:v>
      </x:c>
      <x:c r="O57" s="11" t="n">
        <x:v>39878</x:v>
      </x:c>
      <x:c r="P57" s="11" t="n">
        <x:v>16</x:v>
      </x:c>
      <x:c r="Q57" s="2"/>
      <x:c r="R57" s="2"/>
      <x:c r="S57" s="2"/>
      <x:c r="T57" s="2"/>
      <x:c r="U57" s="2"/>
    </x:row>
    <x:row r="58" ht="26" customHeight="1">
      <x:c r="A58" s="2" t="str">
        <x:v>E06000026</x:v>
      </x:c>
      <x:c r="B58" s="2" t="str">
        <x:v>State-funded primary</x:v>
      </x:c>
      <x:c r="C58" s="2" t="str">
        <x:v>Plymouth</x:v>
      </x:c>
      <x:c r="D58" s="11" t="n">
        <x:v>17000</x:v>
      </x:c>
      <x:c r="E58" s="11" t="n">
        <x:v>16487</x:v>
      </x:c>
      <x:c r="F58" s="11" t="n">
        <x:v>2632</x:v>
      </x:c>
      <x:c r="G58" s="11" t="n">
        <x:v>2375</x:v>
      </x:c>
      <x:c r="H58" s="11" t="n">
        <x:v>143</x:v>
      </x:c>
      <x:c r="I58" s="11" t="n">
        <x:v>163</x:v>
      </x:c>
      <x:c r="J58" s="11" t="n">
        <x:v>2395401</x:v>
      </x:c>
      <x:c r="K58" s="11" t="n">
        <x:v>2294710</x:v>
      </x:c>
      <x:c r="L58" s="11" t="n">
        <x:v>128873</x:v>
      </x:c>
      <x:c r="M58" s="11" t="n">
        <x:v>118160</x:v>
      </x:c>
      <x:c r="N58" s="11" t="n">
        <x:v>69655</x:v>
      </x:c>
      <x:c r="O58" s="11" t="n">
        <x:v>12636</x:v>
      </x:c>
      <x:c r="P58" s="11" t="n">
        <x:v>69</x:v>
      </x:c>
      <x:c r="Q58" s="2"/>
      <x:c r="R58" s="2"/>
      <x:c r="S58" s="2"/>
      <x:c r="T58" s="2"/>
      <x:c r="U58" s="2"/>
    </x:row>
    <x:row r="59" ht="26" customHeight="1">
      <x:c r="A59" s="2" t="str">
        <x:v>E06000026</x:v>
      </x:c>
      <x:c r="B59" s="2" t="str">
        <x:v>State-funded secondary</x:v>
      </x:c>
      <x:c r="C59" s="2" t="str">
        <x:v>Plymouth</x:v>
      </x:c>
      <x:c r="D59" s="11" t="n">
        <x:v>15597</x:v>
      </x:c>
      <x:c r="E59" s="11" t="n">
        <x:v>15415</x:v>
      </x:c>
      <x:c r="F59" s="11" t="n">
        <x:v>4347</x:v>
      </x:c>
      <x:c r="G59" s="11" t="n">
        <x:v>4019</x:v>
      </x:c>
      <x:c r="H59" s="11" t="n">
        <x:v>751</x:v>
      </x:c>
      <x:c r="I59" s="11" t="n">
        <x:v>582</x:v>
      </x:c>
      <x:c r="J59" s="11" t="n">
        <x:v>2117108</x:v>
      </x:c>
      <x:c r="K59" s="11" t="n">
        <x:v>2028236</x:v>
      </x:c>
      <x:c r="L59" s="11" t="n">
        <x:v>204256</x:v>
      </x:c>
      <x:c r="M59" s="11" t="n">
        <x:v>181989</x:v>
      </x:c>
      <x:c r="N59" s="11" t="n">
        <x:v>94102</x:v>
      </x:c>
      <x:c r="O59" s="11" t="n">
        <x:v>48673</x:v>
      </x:c>
      <x:c r="P59" s="11" t="n">
        <x:v>19</x:v>
      </x:c>
      <x:c r="Q59" s="2"/>
      <x:c r="R59" s="2"/>
      <x:c r="S59" s="2"/>
      <x:c r="T59" s="2"/>
      <x:c r="U59" s="2"/>
    </x:row>
    <x:row r="60" ht="26" customHeight="1">
      <x:c r="A60" s="2" t="str">
        <x:v>E06000027</x:v>
      </x:c>
      <x:c r="B60" s="2" t="str">
        <x:v>State-funded primary</x:v>
      </x:c>
      <x:c r="C60" s="2" t="str">
        <x:v>Torbay</x:v>
      </x:c>
      <x:c r="D60" s="11" t="n">
        <x:v>8071</x:v>
      </x:c>
      <x:c r="E60" s="11" t="n">
        <x:v>7616</x:v>
      </x:c>
      <x:c r="F60" s="11" t="n">
        <x:v>1243</x:v>
      </x:c>
      <x:c r="G60" s="11" t="n">
        <x:v>1143</x:v>
      </x:c>
      <x:c r="H60" s="11" t="n">
        <x:v>87</x:v>
      </x:c>
      <x:c r="I60" s="11" t="n">
        <x:v>89</x:v>
      </x:c>
      <x:c r="J60" s="11" t="n">
        <x:v>1106327</x:v>
      </x:c>
      <x:c r="K60" s="11" t="n">
        <x:v>1064181</x:v>
      </x:c>
      <x:c r="L60" s="11" t="n">
        <x:v>58525</x:v>
      </x:c>
      <x:c r="M60" s="11" t="n">
        <x:v>58100</x:v>
      </x:c>
      <x:c r="N60" s="11" t="n">
        <x:v>35901</x:v>
      </x:c>
      <x:c r="O60" s="11" t="n">
        <x:v>7558</x:v>
      </x:c>
      <x:c r="P60" s="11" t="n">
        <x:v>31</x:v>
      </x:c>
      <x:c r="Q60" s="2"/>
      <x:c r="R60" s="2"/>
      <x:c r="S60" s="2"/>
      <x:c r="T60" s="2"/>
      <x:c r="U60" s="2"/>
    </x:row>
    <x:row r="61" ht="26" customHeight="1">
      <x:c r="A61" s="2" t="str">
        <x:v>E06000027</x:v>
      </x:c>
      <x:c r="B61" s="2" t="str">
        <x:v>State-funded secondary</x:v>
      </x:c>
      <x:c r="C61" s="2" t="str">
        <x:v>Torbay</x:v>
      </x:c>
      <x:c r="D61" s="11" t="n">
        <x:v>8259</x:v>
      </x:c>
      <x:c r="E61" s="11" t="n">
        <x:v>8240</x:v>
      </x:c>
      <x:c r="F61" s="11" t="n">
        <x:v>1813</x:v>
      </x:c>
      <x:c r="G61" s="11" t="n">
        <x:v>1956</x:v>
      </x:c>
      <x:c r="H61" s="11" t="n">
        <x:v>347</x:v>
      </x:c>
      <x:c r="I61" s="11" t="n">
        <x:v>302</x:v>
      </x:c>
      <x:c r="J61" s="11" t="n">
        <x:v>1143145</x:v>
      </x:c>
      <x:c r="K61" s="11" t="n">
        <x:v>1129549</x:v>
      </x:c>
      <x:c r="L61" s="11" t="n">
        <x:v>96476</x:v>
      </x:c>
      <x:c r="M61" s="11" t="n">
        <x:v>99271</x:v>
      </x:c>
      <x:c r="N61" s="11" t="n">
        <x:v>60572</x:v>
      </x:c>
      <x:c r="O61" s="11" t="n">
        <x:v>21572</x:v>
      </x:c>
      <x:c r="P61" s="11" t="n">
        <x:v>8</x:v>
      </x:c>
      <x:c r="Q61" s="2"/>
      <x:c r="R61" s="2"/>
      <x:c r="S61" s="2"/>
      <x:c r="T61" s="2"/>
      <x:c r="U61" s="2"/>
    </x:row>
    <x:row r="62" ht="26" customHeight="1">
      <x:c r="A62" s="2" t="str">
        <x:v>E06000030</x:v>
      </x:c>
      <x:c r="B62" s="2" t="str">
        <x:v>State-funded primary</x:v>
      </x:c>
      <x:c r="C62" s="2" t="str">
        <x:v>Swindon</x:v>
      </x:c>
      <x:c r="D62" s="11" t="n">
        <x:v>17481</x:v>
      </x:c>
      <x:c r="E62" s="11" t="n">
        <x:v>17012</x:v>
      </x:c>
      <x:c r="F62" s="11" t="n">
        <x:v>2326</x:v>
      </x:c>
      <x:c r="G62" s="11" t="n">
        <x:v>2169</x:v>
      </x:c>
      <x:c r="H62" s="11" t="n">
        <x:v>133</x:v>
      </x:c>
      <x:c r="I62" s="11" t="n">
        <x:v>151</x:v>
      </x:c>
      <x:c r="J62" s="11" t="n">
        <x:v>2402797</x:v>
      </x:c>
      <x:c r="K62" s="11" t="n">
        <x:v>2340701</x:v>
      </x:c>
      <x:c r="L62" s="11" t="n">
        <x:v>115131</x:v>
      </x:c>
      <x:c r="M62" s="11" t="n">
        <x:v>108656</x:v>
      </x:c>
      <x:c r="N62" s="11" t="n">
        <x:v>66349</x:v>
      </x:c>
      <x:c r="O62" s="11" t="n">
        <x:v>15240</x:v>
      </x:c>
      <x:c r="P62" s="11" t="n">
        <x:v>66</x:v>
      </x:c>
      <x:c r="Q62" s="2"/>
      <x:c r="R62" s="2"/>
      <x:c r="S62" s="2"/>
      <x:c r="T62" s="2"/>
      <x:c r="U62" s="2"/>
    </x:row>
    <x:row r="63" ht="26" customHeight="1">
      <x:c r="A63" s="2" t="str">
        <x:v>E06000030</x:v>
      </x:c>
      <x:c r="B63" s="2" t="str">
        <x:v>State-funded secondary</x:v>
      </x:c>
      <x:c r="C63" s="2" t="str">
        <x:v>Swindon</x:v>
      </x:c>
      <x:c r="D63" s="11" t="n">
        <x:v>14326</x:v>
      </x:c>
      <x:c r="E63" s="11" t="n">
        <x:v>14347</x:v>
      </x:c>
      <x:c r="F63" s="11" t="n">
        <x:v>3276</x:v>
      </x:c>
      <x:c r="G63" s="11" t="n">
        <x:v>3121</x:v>
      </x:c>
      <x:c r="H63" s="11" t="n">
        <x:v>528</x:v>
      </x:c>
      <x:c r="I63" s="11" t="n">
        <x:v>518</x:v>
      </x:c>
      <x:c r="J63" s="11" t="n">
        <x:v>1904597</x:v>
      </x:c>
      <x:c r="K63" s="11" t="n">
        <x:v>1909290</x:v>
      </x:c>
      <x:c r="L63" s="11" t="n">
        <x:v>150783</x:v>
      </x:c>
      <x:c r="M63" s="11" t="n">
        <x:v>147130</x:v>
      </x:c>
      <x:c r="N63" s="11" t="n">
        <x:v>69583</x:v>
      </x:c>
      <x:c r="O63" s="11" t="n">
        <x:v>41827</x:v>
      </x:c>
      <x:c r="P63" s="11" t="n">
        <x:v>14</x:v>
      </x:c>
      <x:c r="Q63" s="2"/>
      <x:c r="R63" s="2"/>
      <x:c r="S63" s="2"/>
      <x:c r="T63" s="2"/>
      <x:c r="U63" s="2"/>
    </x:row>
    <x:row r="64" ht="26" customHeight="1">
      <x:c r="A64" s="2" t="str">
        <x:v>E06000031</x:v>
      </x:c>
      <x:c r="B64" s="2" t="str">
        <x:v>State-funded primary</x:v>
      </x:c>
      <x:c r="C64" s="2" t="str">
        <x:v>Peterborough</x:v>
      </x:c>
      <x:c r="D64" s="11" t="n">
        <x:v>18222</x:v>
      </x:c>
      <x:c r="E64" s="11" t="n">
        <x:v>17883</x:v>
      </x:c>
      <x:c r="F64" s="11" t="n">
        <x:v>2538</x:v>
      </x:c>
      <x:c r="G64" s="11" t="n">
        <x:v>2616</x:v>
      </x:c>
      <x:c r="H64" s="11" t="n">
        <x:v>156</x:v>
      </x:c>
      <x:c r="I64" s="11" t="n">
        <x:v>183</x:v>
      </x:c>
      <x:c r="J64" s="11" t="n">
        <x:v>2512632</x:v>
      </x:c>
      <x:c r="K64" s="11" t="n">
        <x:v>2483493</x:v>
      </x:c>
      <x:c r="L64" s="11" t="n">
        <x:v>122574</x:v>
      </x:c>
      <x:c r="M64" s="11" t="n">
        <x:v>125110</x:v>
      </x:c>
      <x:c r="N64" s="11" t="n">
        <x:v>76284</x:v>
      </x:c>
      <x:c r="O64" s="11" t="n">
        <x:v>14704</x:v>
      </x:c>
      <x:c r="P64" s="11" t="n">
        <x:v>60</x:v>
      </x:c>
      <x:c r="Q64" s="2"/>
      <x:c r="R64" s="2"/>
      <x:c r="S64" s="2"/>
      <x:c r="T64" s="2"/>
      <x:c r="U64" s="2"/>
    </x:row>
    <x:row r="65" ht="26" customHeight="1">
      <x:c r="A65" s="2" t="str">
        <x:v>E06000031</x:v>
      </x:c>
      <x:c r="B65" s="2" t="str">
        <x:v>State-funded secondary</x:v>
      </x:c>
      <x:c r="C65" s="2" t="str">
        <x:v>Peterborough</x:v>
      </x:c>
      <x:c r="D65" s="11" t="n">
        <x:v>16919</x:v>
      </x:c>
      <x:c r="E65" s="11" t="n">
        <x:v>16971</x:v>
      </x:c>
      <x:c r="F65" s="11" t="n">
        <x:v>3502</x:v>
      </x:c>
      <x:c r="G65" s="11" t="n">
        <x:v>3582</x:v>
      </x:c>
      <x:c r="H65" s="11" t="n">
        <x:v>473</x:v>
      </x:c>
      <x:c r="I65" s="11" t="n">
        <x:v>462</x:v>
      </x:c>
      <x:c r="J65" s="11" t="n">
        <x:v>2331193</x:v>
      </x:c>
      <x:c r="K65" s="11" t="n">
        <x:v>2355315</x:v>
      </x:c>
      <x:c r="L65" s="11" t="n">
        <x:v>170017</x:v>
      </x:c>
      <x:c r="M65" s="11" t="n">
        <x:v>174183</x:v>
      </x:c>
      <x:c r="N65" s="11" t="n">
        <x:v>93105</x:v>
      </x:c>
      <x:c r="O65" s="11" t="n">
        <x:v>41897</x:v>
      </x:c>
      <x:c r="P65" s="11" t="n">
        <x:v>15</x:v>
      </x:c>
      <x:c r="Q65" s="2"/>
      <x:c r="R65" s="2"/>
      <x:c r="S65" s="2"/>
      <x:c r="T65" s="2"/>
      <x:c r="U65" s="2"/>
    </x:row>
    <x:row r="66" ht="26" customHeight="1">
      <x:c r="A66" s="2" t="str">
        <x:v>E06000032</x:v>
      </x:c>
      <x:c r="B66" s="2" t="str">
        <x:v>State-funded primary</x:v>
      </x:c>
      <x:c r="C66" s="2" t="str">
        <x:v>Luton</x:v>
      </x:c>
      <x:c r="D66" s="11" t="n">
        <x:v>20250</x:v>
      </x:c>
      <x:c r="E66" s="11" t="n">
        <x:v>19507</x:v>
      </x:c>
      <x:c r="F66" s="11" t="n">
        <x:v>2631</x:v>
      </x:c>
      <x:c r="G66" s="11" t="n">
        <x:v>2502</x:v>
      </x:c>
      <x:c r="H66" s="11" t="n">
        <x:v>194</x:v>
      </x:c>
      <x:c r="I66" s="11" t="n">
        <x:v>201</x:v>
      </x:c>
      <x:c r="J66" s="11" t="n">
        <x:v>2812142</x:v>
      </x:c>
      <x:c r="K66" s="11" t="n">
        <x:v>2720157</x:v>
      </x:c>
      <x:c r="L66" s="11" t="n">
        <x:v>130004</x:v>
      </x:c>
      <x:c r="M66" s="11" t="n">
        <x:v>128837</x:v>
      </x:c>
      <x:c r="N66" s="11" t="n">
        <x:v>77082</x:v>
      </x:c>
      <x:c r="O66" s="11" t="n">
        <x:v>12650</x:v>
      </x:c>
      <x:c r="P66" s="11" t="n">
        <x:v>46</x:v>
      </x:c>
      <x:c r="Q66" s="2"/>
      <x:c r="R66" s="2"/>
      <x:c r="S66" s="2"/>
      <x:c r="T66" s="2"/>
      <x:c r="U66" s="2"/>
    </x:row>
    <x:row r="67" ht="26" customHeight="1">
      <x:c r="A67" s="2" t="str">
        <x:v>E06000032</x:v>
      </x:c>
      <x:c r="B67" s="2" t="str">
        <x:v>State-funded secondary</x:v>
      </x:c>
      <x:c r="C67" s="2" t="str">
        <x:v>Luton</x:v>
      </x:c>
      <x:c r="D67" s="11" t="n">
        <x:v>16103</x:v>
      </x:c>
      <x:c r="E67" s="11" t="n">
        <x:v>15936</x:v>
      </x:c>
      <x:c r="F67" s="11" t="n">
        <x:v>2688</x:v>
      </x:c>
      <x:c r="G67" s="11" t="n">
        <x:v>2935</x:v>
      </x:c>
      <x:c r="H67" s="11" t="n">
        <x:v>275</x:v>
      </x:c>
      <x:c r="I67" s="11" t="n">
        <x:v>304</x:v>
      </x:c>
      <x:c r="J67" s="11" t="n">
        <x:v>2215087</x:v>
      </x:c>
      <x:c r="K67" s="11" t="n">
        <x:v>2195154</x:v>
      </x:c>
      <x:c r="L67" s="11" t="n">
        <x:v>134312</x:v>
      </x:c>
      <x:c r="M67" s="11" t="n">
        <x:v>141922</x:v>
      </x:c>
      <x:c r="N67" s="11" t="n">
        <x:v>71606</x:v>
      </x:c>
      <x:c r="O67" s="11" t="n">
        <x:v>32022</x:v>
      </x:c>
      <x:c r="P67" s="11" t="n">
        <x:v>13</x:v>
      </x:c>
      <x:c r="Q67" s="2"/>
      <x:c r="R67" s="2"/>
      <x:c r="S67" s="2"/>
      <x:c r="T67" s="2"/>
      <x:c r="U67" s="2"/>
    </x:row>
    <x:row r="68" ht="26" customHeight="1">
      <x:c r="A68" s="2" t="str">
        <x:v>E06000033</x:v>
      </x:c>
      <x:c r="B68" s="2" t="str">
        <x:v>State-funded primary</x:v>
      </x:c>
      <x:c r="C68" s="2" t="str">
        <x:v>Southend-on-Sea</x:v>
      </x:c>
      <x:c r="D68" s="11" t="n">
        <x:v>13213</x:v>
      </x:c>
      <x:c r="E68" s="11" t="n">
        <x:v>12911</x:v>
      </x:c>
      <x:c r="F68" s="11" t="n">
        <x:v>2075</x:v>
      </x:c>
      <x:c r="G68" s="11" t="n">
        <x:v>1956</x:v>
      </x:c>
      <x:c r="H68" s="11" t="n">
        <x:v>120</x:v>
      </x:c>
      <x:c r="I68" s="11" t="n">
        <x:v>146</x:v>
      </x:c>
      <x:c r="J68" s="11" t="n">
        <x:v>1832485</x:v>
      </x:c>
      <x:c r="K68" s="11" t="n">
        <x:v>1809793</x:v>
      </x:c>
      <x:c r="L68" s="11" t="n">
        <x:v>95611</x:v>
      </x:c>
      <x:c r="M68" s="11" t="n">
        <x:v>93441</x:v>
      </x:c>
      <x:c r="N68" s="11" t="n">
        <x:v>55744</x:v>
      </x:c>
      <x:c r="O68" s="11" t="n">
        <x:v>12835</x:v>
      </x:c>
      <x:c r="P68" s="11" t="n">
        <x:v>33</x:v>
      </x:c>
      <x:c r="Q68" s="2"/>
      <x:c r="R68" s="2"/>
      <x:c r="S68" s="2"/>
      <x:c r="T68" s="2"/>
      <x:c r="U68" s="2"/>
    </x:row>
    <x:row r="69" ht="26" customHeight="1">
      <x:c r="A69" s="2" t="str">
        <x:v>E06000033</x:v>
      </x:c>
      <x:c r="B69" s="2" t="str">
        <x:v>State-funded secondary</x:v>
      </x:c>
      <x:c r="C69" s="2" t="str">
        <x:v>Southend-on-Sea</x:v>
      </x:c>
      <x:c r="D69" s="11" t="n">
        <x:v>12633</x:v>
      </x:c>
      <x:c r="E69" s="11" t="n">
        <x:v>12724</x:v>
      </x:c>
      <x:c r="F69" s="11" t="n">
        <x:v>2193</x:v>
      </x:c>
      <x:c r="G69" s="11" t="n">
        <x:v>2352</x:v>
      </x:c>
      <x:c r="H69" s="11" t="n">
        <x:v>306</x:v>
      </x:c>
      <x:c r="I69" s="11" t="n">
        <x:v>352</x:v>
      </x:c>
      <x:c r="J69" s="11" t="n">
        <x:v>1747668</x:v>
      </x:c>
      <x:c r="K69" s="11" t="n">
        <x:v>1731249</x:v>
      </x:c>
      <x:c r="L69" s="11" t="n">
        <x:v>111610</x:v>
      </x:c>
      <x:c r="M69" s="11" t="n">
        <x:v>118704</x:v>
      </x:c>
      <x:c r="N69" s="11" t="n">
        <x:v>64247</x:v>
      </x:c>
      <x:c r="O69" s="11" t="n">
        <x:v>29362</x:v>
      </x:c>
      <x:c r="P69" s="11" t="n">
        <x:v>12</x:v>
      </x:c>
      <x:c r="Q69" s="2"/>
      <x:c r="R69" s="2"/>
      <x:c r="S69" s="2"/>
      <x:c r="T69" s="2"/>
      <x:c r="U69" s="2"/>
    </x:row>
    <x:row r="70" ht="26" customHeight="1">
      <x:c r="A70" s="2" t="str">
        <x:v>E06000034</x:v>
      </x:c>
      <x:c r="B70" s="2" t="str">
        <x:v>State-funded primary</x:v>
      </x:c>
      <x:c r="C70" s="2" t="str">
        <x:v>Thurrock</x:v>
      </x:c>
      <x:c r="D70" s="11" t="n">
        <x:v>15557</x:v>
      </x:c>
      <x:c r="E70" s="11" t="n">
        <x:v>15361</x:v>
      </x:c>
      <x:c r="F70" s="11" t="n">
        <x:v>2357</x:v>
      </x:c>
      <x:c r="G70" s="11" t="n">
        <x:v>2239</x:v>
      </x:c>
      <x:c r="H70" s="11" t="n">
        <x:v>163</x:v>
      </x:c>
      <x:c r="I70" s="11" t="n">
        <x:v>179</x:v>
      </x:c>
      <x:c r="J70" s="11" t="n">
        <x:v>2065861</x:v>
      </x:c>
      <x:c r="K70" s="11" t="n">
        <x:v>2048328</x:v>
      </x:c>
      <x:c r="L70" s="11" t="n">
        <x:v>105347</x:v>
      </x:c>
      <x:c r="M70" s="11" t="n">
        <x:v>101131</x:v>
      </x:c>
      <x:c r="N70" s="11" t="n">
        <x:v>54977</x:v>
      </x:c>
      <x:c r="O70" s="11" t="n">
        <x:v>18821</x:v>
      </x:c>
      <x:c r="P70" s="11" t="n">
        <x:v>39</x:v>
      </x:c>
      <x:c r="Q70" s="2"/>
      <x:c r="R70" s="2"/>
      <x:c r="S70" s="2"/>
      <x:c r="T70" s="2"/>
      <x:c r="U70" s="2"/>
    </x:row>
    <x:row r="71" ht="26" customHeight="1">
      <x:c r="A71" s="2" t="str">
        <x:v>E06000034</x:v>
      </x:c>
      <x:c r="B71" s="2" t="str">
        <x:v>State-funded secondary</x:v>
      </x:c>
      <x:c r="C71" s="2" t="str">
        <x:v>Thurrock</x:v>
      </x:c>
      <x:c r="D71" s="11" t="n">
        <x:v>11620</x:v>
      </x:c>
      <x:c r="E71" s="11" t="n">
        <x:v>11372</x:v>
      </x:c>
      <x:c r="F71" s="11" t="n">
        <x:v>2354</x:v>
      </x:c>
      <x:c r="G71" s="11" t="n">
        <x:v>2134</x:v>
      </x:c>
      <x:c r="H71" s="11" t="n">
        <x:v>303</x:v>
      </x:c>
      <x:c r="I71" s="11" t="n">
        <x:v>303</x:v>
      </x:c>
      <x:c r="J71" s="11" t="n">
        <x:v>1493316</x:v>
      </x:c>
      <x:c r="K71" s="11" t="n">
        <x:v>1461443</x:v>
      </x:c>
      <x:c r="L71" s="11" t="n">
        <x:v>104899</x:v>
      </x:c>
      <x:c r="M71" s="11" t="n">
        <x:v>96569</x:v>
      </x:c>
      <x:c r="N71" s="11" t="n">
        <x:v>39245</x:v>
      </x:c>
      <x:c r="O71" s="11" t="n">
        <x:v>32773</x:v>
      </x:c>
      <x:c r="P71" s="11" t="n">
        <x:v>13</x:v>
      </x:c>
      <x:c r="Q71" s="2"/>
      <x:c r="R71" s="2"/>
      <x:c r="S71" s="2"/>
      <x:c r="T71" s="2"/>
      <x:c r="U71" s="2"/>
    </x:row>
    <x:row r="72" ht="26" customHeight="1">
      <x:c r="A72" s="2" t="str">
        <x:v>E06000035</x:v>
      </x:c>
      <x:c r="B72" s="2" t="str">
        <x:v>State-funded primary</x:v>
      </x:c>
      <x:c r="C72" s="2" t="str">
        <x:v>Medway</x:v>
      </x:c>
      <x:c r="D72" s="11" t="n">
        <x:v>22721</x:v>
      </x:c>
      <x:c r="E72" s="11" t="n">
        <x:v>22389</x:v>
      </x:c>
      <x:c r="F72" s="11" t="n">
        <x:v>3492</x:v>
      </x:c>
      <x:c r="G72" s="11" t="n">
        <x:v>3735</x:v>
      </x:c>
      <x:c r="H72" s="11" t="n">
        <x:v>278</x:v>
      </x:c>
      <x:c r="I72" s="11" t="n">
        <x:v>335</x:v>
      </x:c>
      <x:c r="J72" s="11" t="n">
        <x:v>3101627</x:v>
      </x:c>
      <x:c r="K72" s="11" t="n">
        <x:v>3057490</x:v>
      </x:c>
      <x:c r="L72" s="11" t="n">
        <x:v>163751</x:v>
      </x:c>
      <x:c r="M72" s="11" t="n">
        <x:v>171032</x:v>
      </x:c>
      <x:c r="N72" s="11" t="n">
        <x:v>95220</x:v>
      </x:c>
      <x:c r="O72" s="11" t="n">
        <x:v>25809</x:v>
      </x:c>
      <x:c r="P72" s="11" t="n">
        <x:v>76</x:v>
      </x:c>
      <x:c r="Q72" s="2"/>
      <x:c r="R72" s="2"/>
      <x:c r="S72" s="2"/>
      <x:c r="T72" s="2"/>
      <x:c r="U72" s="2"/>
    </x:row>
    <x:row r="73" ht="26" customHeight="1">
      <x:c r="A73" s="2" t="str">
        <x:v>E06000035</x:v>
      </x:c>
      <x:c r="B73" s="2" t="str">
        <x:v>State-funded secondary</x:v>
      </x:c>
      <x:c r="C73" s="2" t="str">
        <x:v>Medway</x:v>
      </x:c>
      <x:c r="D73" s="11" t="n">
        <x:v>19700</x:v>
      </x:c>
      <x:c r="E73" s="11" t="n">
        <x:v>19844</x:v>
      </x:c>
      <x:c r="F73" s="11" t="n">
        <x:v>4088</x:v>
      </x:c>
      <x:c r="G73" s="11" t="n">
        <x:v>4254</x:v>
      </x:c>
      <x:c r="H73" s="11" t="n">
        <x:v>541</x:v>
      </x:c>
      <x:c r="I73" s="11" t="n">
        <x:v>548</x:v>
      </x:c>
      <x:c r="J73" s="11" t="n">
        <x:v>2580308</x:v>
      </x:c>
      <x:c r="K73" s="11" t="n">
        <x:v>2592121</x:v>
      </x:c>
      <x:c r="L73" s="11" t="n">
        <x:v>186712</x:v>
      </x:c>
      <x:c r="M73" s="11" t="n">
        <x:v>191205</x:v>
      </x:c>
      <x:c r="N73" s="11" t="n">
        <x:v>94423</x:v>
      </x:c>
      <x:c r="O73" s="11" t="n">
        <x:v>52344</x:v>
      </x:c>
      <x:c r="P73" s="11" t="n">
        <x:v>20</x:v>
      </x:c>
      <x:c r="Q73" s="2"/>
      <x:c r="R73" s="2"/>
      <x:c r="S73" s="2"/>
      <x:c r="T73" s="2"/>
      <x:c r="U73" s="2"/>
    </x:row>
    <x:row r="74" ht="26" customHeight="1">
      <x:c r="A74" s="2" t="str">
        <x:v>E06000036</x:v>
      </x:c>
      <x:c r="B74" s="2" t="str">
        <x:v>State-funded primary</x:v>
      </x:c>
      <x:c r="C74" s="2" t="str">
        <x:v>Bracknell Forest</x:v>
      </x:c>
      <x:c r="D74" s="11" t="n">
        <x:v>8450</x:v>
      </x:c>
      <x:c r="E74" s="11" t="n">
        <x:v>8320</x:v>
      </x:c>
      <x:c r="F74" s="11" t="n">
        <x:v>909</x:v>
      </x:c>
      <x:c r="G74" s="11" t="n">
        <x:v>834</x:v>
      </x:c>
      <x:c r="H74" s="11" t="n">
        <x:v>42</x:v>
      </x:c>
      <x:c r="I74" s="11" t="n">
        <x:v>42</x:v>
      </x:c>
      <x:c r="J74" s="11" t="n">
        <x:v>1182075</x:v>
      </x:c>
      <x:c r="K74" s="11" t="n">
        <x:v>1150695</x:v>
      </x:c>
      <x:c r="L74" s="11" t="n">
        <x:v>51647</x:v>
      </x:c>
      <x:c r="M74" s="11" t="n">
        <x:v>47372</x:v>
      </x:c>
      <x:c r="N74" s="11" t="n">
        <x:v>29495</x:v>
      </x:c>
      <x:c r="O74" s="11" t="n">
        <x:v>3843</x:v>
      </x:c>
      <x:c r="P74" s="11" t="n">
        <x:v>29</x:v>
      </x:c>
      <x:c r="Q74" s="2"/>
      <x:c r="R74" s="2"/>
      <x:c r="S74" s="2"/>
      <x:c r="T74" s="2"/>
      <x:c r="U74" s="2"/>
    </x:row>
    <x:row r="75" ht="26" customHeight="1">
      <x:c r="A75" s="2" t="str">
        <x:v>E06000036</x:v>
      </x:c>
      <x:c r="B75" s="2" t="str">
        <x:v>State-funded secondary</x:v>
      </x:c>
      <x:c r="C75" s="2" t="str">
        <x:v>Bracknell Forest</x:v>
      </x:c>
      <x:c r="D75" s="11" t="n">
        <x:v>7587</x:v>
      </x:c>
      <x:c r="E75" s="11" t="n">
        <x:v>7554</x:v>
      </x:c>
      <x:c r="F75" s="11" t="n">
        <x:v>1374</x:v>
      </x:c>
      <x:c r="G75" s="11" t="n">
        <x:v>1356</x:v>
      </x:c>
      <x:c r="H75" s="11" t="n">
        <x:v>215</x:v>
      </x:c>
      <x:c r="I75" s="11" t="n">
        <x:v>182</x:v>
      </x:c>
      <x:c r="J75" s="11" t="n">
        <x:v>1051321</x:v>
      </x:c>
      <x:c r="K75" s="11" t="n">
        <x:v>1037331</x:v>
      </x:c>
      <x:c r="L75" s="11" t="n">
        <x:v>73891</x:v>
      </x:c>
      <x:c r="M75" s="11" t="n">
        <x:v>70903</x:v>
      </x:c>
      <x:c r="N75" s="11" t="n">
        <x:v>39572</x:v>
      </x:c>
      <x:c r="O75" s="11" t="n">
        <x:v>13230</x:v>
      </x:c>
      <x:c r="P75" s="11" t="n">
        <x:v>7</x:v>
      </x:c>
      <x:c r="Q75" s="2"/>
      <x:c r="R75" s="2"/>
      <x:c r="S75" s="2"/>
      <x:c r="T75" s="2"/>
      <x:c r="U75" s="2"/>
    </x:row>
    <x:row r="76" ht="26" customHeight="1">
      <x:c r="A76" s="2" t="str">
        <x:v>E06000037</x:v>
      </x:c>
      <x:c r="B76" s="2" t="str">
        <x:v>State-funded primary</x:v>
      </x:c>
      <x:c r="C76" s="2" t="str">
        <x:v>West Berkshire</x:v>
      </x:c>
      <x:c r="D76" s="11" t="n">
        <x:v>10879</x:v>
      </x:c>
      <x:c r="E76" s="11" t="n">
        <x:v>10319</x:v>
      </x:c>
      <x:c r="F76" s="11" t="n">
        <x:v>1370</x:v>
      </x:c>
      <x:c r="G76" s="11" t="n">
        <x:v>1257</x:v>
      </x:c>
      <x:c r="H76" s="11" t="n">
        <x:v>83</x:v>
      </x:c>
      <x:c r="I76" s="11" t="n">
        <x:v>83</x:v>
      </x:c>
      <x:c r="J76" s="11" t="n">
        <x:v>1521840</x:v>
      </x:c>
      <x:c r="K76" s="11" t="n">
        <x:v>1419691</x:v>
      </x:c>
      <x:c r="L76" s="11" t="n">
        <x:v>73994</x:v>
      </x:c>
      <x:c r="M76" s="11" t="n">
        <x:v>66107</x:v>
      </x:c>
      <x:c r="N76" s="11" t="n">
        <x:v>40300</x:v>
      </x:c>
      <x:c r="O76" s="11" t="n">
        <x:v>5142</x:v>
      </x:c>
      <x:c r="P76" s="11" t="n">
        <x:v>66</x:v>
      </x:c>
      <x:c r="Q76" s="2"/>
      <x:c r="R76" s="2"/>
      <x:c r="S76" s="2"/>
      <x:c r="T76" s="2"/>
      <x:c r="U76" s="2"/>
    </x:row>
    <x:row r="77" ht="26" customHeight="1">
      <x:c r="A77" s="2" t="str">
        <x:v>E06000037</x:v>
      </x:c>
      <x:c r="B77" s="2" t="str">
        <x:v>State-funded secondary</x:v>
      </x:c>
      <x:c r="C77" s="2" t="str">
        <x:v>West Berkshire</x:v>
      </x:c>
      <x:c r="D77" s="11" t="n">
        <x:v>10512</x:v>
      </x:c>
      <x:c r="E77" s="11" t="n">
        <x:v>10459</x:v>
      </x:c>
      <x:c r="F77" s="11" t="n">
        <x:v>2100</x:v>
      </x:c>
      <x:c r="G77" s="11" t="n">
        <x:v>2179</x:v>
      </x:c>
      <x:c r="H77" s="11" t="n">
        <x:v>343</x:v>
      </x:c>
      <x:c r="I77" s="11" t="n">
        <x:v>380</x:v>
      </x:c>
      <x:c r="J77" s="11" t="n">
        <x:v>1445876</x:v>
      </x:c>
      <x:c r="K77" s="11" t="n">
        <x:v>1426633</x:v>
      </x:c>
      <x:c r="L77" s="11" t="n">
        <x:v>111611</x:v>
      </x:c>
      <x:c r="M77" s="11" t="n">
        <x:v>113703</x:v>
      </x:c>
      <x:c r="N77" s="11" t="n">
        <x:v>57633</x:v>
      </x:c>
      <x:c r="O77" s="11" t="n">
        <x:v>23359</x:v>
      </x:c>
      <x:c r="P77" s="11" t="n">
        <x:v>10</x:v>
      </x:c>
      <x:c r="Q77" s="2"/>
      <x:c r="R77" s="2"/>
      <x:c r="S77" s="2"/>
      <x:c r="T77" s="2"/>
      <x:c r="U77" s="2"/>
    </x:row>
    <x:row r="78" ht="26" customHeight="1">
      <x:c r="A78" s="2" t="str">
        <x:v>E06000038</x:v>
      </x:c>
      <x:c r="B78" s="2" t="str">
        <x:v>State-funded primary</x:v>
      </x:c>
      <x:c r="C78" s="2" t="str">
        <x:v>Reading</x:v>
      </x:c>
      <x:c r="D78" s="11" t="n">
        <x:v>11809</x:v>
      </x:c>
      <x:c r="E78" s="11" t="n">
        <x:v>11403</x:v>
      </x:c>
      <x:c r="F78" s="11" t="n">
        <x:v>1900</x:v>
      </x:c>
      <x:c r="G78" s="11" t="n">
        <x:v>1654</x:v>
      </x:c>
      <x:c r="H78" s="11" t="n">
        <x:v>149</x:v>
      </x:c>
      <x:c r="I78" s="11" t="n">
        <x:v>144</x:v>
      </x:c>
      <x:c r="J78" s="11" t="n">
        <x:v>1617532</x:v>
      </x:c>
      <x:c r="K78" s="11" t="n">
        <x:v>1556249</x:v>
      </x:c>
      <x:c r="L78" s="11" t="n">
        <x:v>87271</x:v>
      </x:c>
      <x:c r="M78" s="11" t="n">
        <x:v>80227</x:v>
      </x:c>
      <x:c r="N78" s="11" t="n">
        <x:v>42958</x:v>
      </x:c>
      <x:c r="O78" s="11" t="n">
        <x:v>13106</x:v>
      </x:c>
      <x:c r="P78" s="11" t="n">
        <x:v>40</x:v>
      </x:c>
      <x:c r="Q78" s="2"/>
      <x:c r="R78" s="2"/>
      <x:c r="S78" s="2"/>
      <x:c r="T78" s="2"/>
      <x:c r="U78" s="2"/>
    </x:row>
    <x:row r="79" ht="26" customHeight="1">
      <x:c r="A79" s="2" t="str">
        <x:v>E06000038</x:v>
      </x:c>
      <x:c r="B79" s="2" t="str">
        <x:v>State-funded secondary</x:v>
      </x:c>
      <x:c r="C79" s="2" t="str">
        <x:v>Reading</x:v>
      </x:c>
      <x:c r="D79" s="11" t="n">
        <x:v>7628</x:v>
      </x:c>
      <x:c r="E79" s="11" t="n">
        <x:v>8226</x:v>
      </x:c>
      <x:c r="F79" s="11" t="n">
        <x:v>1368</x:v>
      </x:c>
      <x:c r="G79" s="11" t="n">
        <x:v>1640</x:v>
      </x:c>
      <x:c r="H79" s="11" t="n">
        <x:v>182</x:v>
      </x:c>
      <x:c r="I79" s="11" t="n">
        <x:v>240</x:v>
      </x:c>
      <x:c r="J79" s="11" t="n">
        <x:v>1026700</x:v>
      </x:c>
      <x:c r="K79" s="11" t="n">
        <x:v>1098770</x:v>
      </x:c>
      <x:c r="L79" s="11" t="n">
        <x:v>66992</x:v>
      </x:c>
      <x:c r="M79" s="11" t="n">
        <x:v>81469</x:v>
      </x:c>
      <x:c r="N79" s="11" t="n">
        <x:v>38560</x:v>
      </x:c>
      <x:c r="O79" s="11" t="n">
        <x:v>23080</x:v>
      </x:c>
      <x:c r="P79" s="11" t="n">
        <x:v>11</x:v>
      </x:c>
      <x:c r="Q79" s="2"/>
      <x:c r="R79" s="2"/>
      <x:c r="S79" s="2"/>
      <x:c r="T79" s="2"/>
      <x:c r="U79" s="2"/>
    </x:row>
    <x:row r="80" ht="26" customHeight="1">
      <x:c r="A80" s="2" t="str">
        <x:v>E06000039</x:v>
      </x:c>
      <x:c r="B80" s="2" t="str">
        <x:v>State-funded primary</x:v>
      </x:c>
      <x:c r="C80" s="2" t="str">
        <x:v>Slough</x:v>
      </x:c>
      <x:c r="D80" s="11" t="n">
        <x:v>14338</x:v>
      </x:c>
      <x:c r="E80" s="11" t="n">
        <x:v>14143</x:v>
      </x:c>
      <x:c r="F80" s="11" t="n">
        <x:v>2316</x:v>
      </x:c>
      <x:c r="G80" s="11" t="n">
        <x:v>2453</x:v>
      </x:c>
      <x:c r="H80" s="11" t="n">
        <x:v>156</x:v>
      </x:c>
      <x:c r="I80" s="11" t="n">
        <x:v>182</x:v>
      </x:c>
      <x:c r="J80" s="11" t="n">
        <x:v>1939666</x:v>
      </x:c>
      <x:c r="K80" s="11" t="n">
        <x:v>1888124</x:v>
      </x:c>
      <x:c r="L80" s="11" t="n">
        <x:v>104514</x:v>
      </x:c>
      <x:c r="M80" s="11" t="n">
        <x:v>106592</x:v>
      </x:c>
      <x:c r="N80" s="11" t="n">
        <x:v>64423</x:v>
      </x:c>
      <x:c r="O80" s="11" t="n">
        <x:v>11270</x:v>
      </x:c>
      <x:c r="P80" s="11" t="n">
        <x:v>28</x:v>
      </x:c>
      <x:c r="Q80" s="2"/>
      <x:c r="R80" s="2"/>
      <x:c r="S80" s="2"/>
      <x:c r="T80" s="2"/>
      <x:c r="U80" s="2"/>
    </x:row>
    <x:row r="81" ht="26" customHeight="1">
      <x:c r="A81" s="2" t="str">
        <x:v>E06000039</x:v>
      </x:c>
      <x:c r="B81" s="2" t="str">
        <x:v>State-funded secondary</x:v>
      </x:c>
      <x:c r="C81" s="2" t="str">
        <x:v>Slough</x:v>
      </x:c>
      <x:c r="D81" s="11" t="n">
        <x:v>13353</x:v>
      </x:c>
      <x:c r="E81" s="11" t="n">
        <x:v>13277</x:v>
      </x:c>
      <x:c r="F81" s="11" t="n">
        <x:v>2365</x:v>
      </x:c>
      <x:c r="G81" s="11" t="n">
        <x:v>2473</x:v>
      </x:c>
      <x:c r="H81" s="11" t="n">
        <x:v>283</x:v>
      </x:c>
      <x:c r="I81" s="11" t="n">
        <x:v>230</x:v>
      </x:c>
      <x:c r="J81" s="11" t="n">
        <x:v>1800564</x:v>
      </x:c>
      <x:c r="K81" s="11" t="n">
        <x:v>1780464</x:v>
      </x:c>
      <x:c r="L81" s="11" t="n">
        <x:v>115383</x:v>
      </x:c>
      <x:c r="M81" s="11" t="n">
        <x:v>117239</x:v>
      </x:c>
      <x:c r="N81" s="11" t="n">
        <x:v>64411</x:v>
      </x:c>
      <x:c r="O81" s="11" t="n">
        <x:v>22603</x:v>
      </x:c>
      <x:c r="P81" s="11" t="n">
        <x:v>15</x:v>
      </x:c>
      <x:c r="Q81" s="2"/>
      <x:c r="R81" s="2"/>
      <x:c r="S81" s="2"/>
      <x:c r="T81" s="2"/>
      <x:c r="U81" s="2"/>
    </x:row>
    <x:row r="82" ht="26" customHeight="1">
      <x:c r="A82" s="2" t="str">
        <x:v>E06000040</x:v>
      </x:c>
      <x:c r="B82" s="2" t="str">
        <x:v>State-funded primary</x:v>
      </x:c>
      <x:c r="C82" s="2" t="str">
        <x:v>Windsor and Maidenhead</x:v>
      </x:c>
      <x:c r="D82" s="11" t="n">
        <x:v>8570</x:v>
      </x:c>
      <x:c r="E82" s="11" t="n">
        <x:v>8419</x:v>
      </x:c>
      <x:c r="F82" s="11" t="n">
        <x:v>1168</x:v>
      </x:c>
      <x:c r="G82" s="11" t="n">
        <x:v>986</x:v>
      </x:c>
      <x:c r="H82" s="11" t="n">
        <x:v>78</x:v>
      </x:c>
      <x:c r="I82" s="11" t="n">
        <x:v>60</x:v>
      </x:c>
      <x:c r="J82" s="11" t="n">
        <x:v>1197102</x:v>
      </x:c>
      <x:c r="K82" s="11" t="n">
        <x:v>1162784</x:v>
      </x:c>
      <x:c r="L82" s="11" t="n">
        <x:v>58693</x:v>
      </x:c>
      <x:c r="M82" s="11" t="n">
        <x:v>52346</x:v>
      </x:c>
      <x:c r="N82" s="11" t="n">
        <x:v>31276</x:v>
      </x:c>
      <x:c r="O82" s="11" t="n">
        <x:v>4605</x:v>
      </x:c>
      <x:c r="P82" s="11" t="n">
        <x:v>46</x:v>
      </x:c>
      <x:c r="Q82" s="2"/>
      <x:c r="R82" s="2"/>
      <x:c r="S82" s="2"/>
      <x:c r="T82" s="2"/>
      <x:c r="U82" s="2"/>
    </x:row>
    <x:row r="83" ht="26" customHeight="1">
      <x:c r="A83" s="2" t="str">
        <x:v>E06000040</x:v>
      </x:c>
      <x:c r="B83" s="2" t="str">
        <x:v>State-funded secondary</x:v>
      </x:c>
      <x:c r="C83" s="2" t="str">
        <x:v>Windsor and Maidenhead</x:v>
      </x:c>
      <x:c r="D83" s="11" t="n">
        <x:v>10099</x:v>
      </x:c>
      <x:c r="E83" s="11" t="n">
        <x:v>9945</x:v>
      </x:c>
      <x:c r="F83" s="11" t="n">
        <x:v>1958</x:v>
      </x:c>
      <x:c r="G83" s="11" t="n">
        <x:v>2062</x:v>
      </x:c>
      <x:c r="H83" s="11" t="n">
        <x:v>264</x:v>
      </x:c>
      <x:c r="I83" s="11" t="n">
        <x:v>248</x:v>
      </x:c>
      <x:c r="J83" s="11" t="n">
        <x:v>1370652</x:v>
      </x:c>
      <x:c r="K83" s="11" t="n">
        <x:v>1338934</x:v>
      </x:c>
      <x:c r="L83" s="11" t="n">
        <x:v>96901</x:v>
      </x:c>
      <x:c r="M83" s="11" t="n">
        <x:v>98439</x:v>
      </x:c>
      <x:c r="N83" s="11" t="n">
        <x:v>59692</x:v>
      </x:c>
      <x:c r="O83" s="11" t="n">
        <x:v>19730</x:v>
      </x:c>
      <x:c r="P83" s="11" t="n">
        <x:v>14</x:v>
      </x:c>
      <x:c r="Q83" s="2"/>
      <x:c r="R83" s="2"/>
      <x:c r="S83" s="2"/>
      <x:c r="T83" s="2"/>
      <x:c r="U83" s="2"/>
    </x:row>
    <x:row r="84" ht="26" customHeight="1">
      <x:c r="A84" s="2" t="str">
        <x:v>E06000041</x:v>
      </x:c>
      <x:c r="B84" s="2" t="str">
        <x:v>State-funded primary</x:v>
      </x:c>
      <x:c r="C84" s="2" t="str">
        <x:v>Wokingham</x:v>
      </x:c>
      <x:c r="D84" s="11" t="n">
        <x:v>13438</x:v>
      </x:c>
      <x:c r="E84" s="11" t="n">
        <x:v>13195</x:v>
      </x:c>
      <x:c r="F84" s="11" t="n">
        <x:v>1471</x:v>
      </x:c>
      <x:c r="G84" s="11" t="n">
        <x:v>1333</x:v>
      </x:c>
      <x:c r="H84" s="11" t="n">
        <x:v>63</x:v>
      </x:c>
      <x:c r="I84" s="11" t="n">
        <x:v>96</x:v>
      </x:c>
      <x:c r="J84" s="11" t="n">
        <x:v>1891753</x:v>
      </x:c>
      <x:c r="K84" s="11" t="n">
        <x:v>1830303</x:v>
      </x:c>
      <x:c r="L84" s="11" t="n">
        <x:v>84543</x:v>
      </x:c>
      <x:c r="M84" s="11" t="n">
        <x:v>78642</x:v>
      </x:c>
      <x:c r="N84" s="11" t="n">
        <x:v>46028</x:v>
      </x:c>
      <x:c r="O84" s="11" t="n">
        <x:v>5722</x:v>
      </x:c>
      <x:c r="P84" s="11" t="n">
        <x:v>55</x:v>
      </x:c>
      <x:c r="Q84" s="2"/>
      <x:c r="R84" s="2"/>
      <x:c r="S84" s="2"/>
      <x:c r="T84" s="2"/>
      <x:c r="U84" s="2"/>
    </x:row>
    <x:row r="85" ht="26" customHeight="1">
      <x:c r="A85" s="2" t="str">
        <x:v>E06000041</x:v>
      </x:c>
      <x:c r="B85" s="2" t="str">
        <x:v>State-funded secondary</x:v>
      </x:c>
      <x:c r="C85" s="2" t="str">
        <x:v>Wokingham</x:v>
      </x:c>
      <x:c r="D85" s="11" t="n">
        <x:v>11494</x:v>
      </x:c>
      <x:c r="E85" s="11" t="n">
        <x:v>11520</x:v>
      </x:c>
      <x:c r="F85" s="11" t="n">
        <x:v>1841</x:v>
      </x:c>
      <x:c r="G85" s="11" t="n">
        <x:v>1880</x:v>
      </x:c>
      <x:c r="H85" s="11" t="n">
        <x:v>214</x:v>
      </x:c>
      <x:c r="I85" s="11" t="n">
        <x:v>266</x:v>
      </x:c>
      <x:c r="J85" s="11" t="n">
        <x:v>1579058</x:v>
      </x:c>
      <x:c r="K85" s="11" t="n">
        <x:v>1565391</x:v>
      </x:c>
      <x:c r="L85" s="11" t="n">
        <x:v>96029</x:v>
      </x:c>
      <x:c r="M85" s="11" t="n">
        <x:v>100427</x:v>
      </x:c>
      <x:c r="N85" s="11" t="n">
        <x:v>58303</x:v>
      </x:c>
      <x:c r="O85" s="11" t="n">
        <x:v>16483</x:v>
      </x:c>
      <x:c r="P85" s="11" t="n">
        <x:v>10</x:v>
      </x:c>
      <x:c r="Q85" s="2"/>
      <x:c r="R85" s="2"/>
      <x:c r="S85" s="2"/>
      <x:c r="T85" s="2"/>
      <x:c r="U85" s="2"/>
    </x:row>
    <x:row r="86" ht="26" customHeight="1">
      <x:c r="A86" s="2" t="str">
        <x:v>E06000042</x:v>
      </x:c>
      <x:c r="B86" s="2" t="str">
        <x:v>State-funded primary</x:v>
      </x:c>
      <x:c r="C86" s="2" t="str">
        <x:v>Milton Keynes</x:v>
      </x:c>
      <x:c r="D86" s="11" t="n">
        <x:v>23040</x:v>
      </x:c>
      <x:c r="E86" s="11" t="n">
        <x:v>22439</x:v>
      </x:c>
      <x:c r="F86" s="11" t="n">
        <x:v>3097</x:v>
      </x:c>
      <x:c r="G86" s="11" t="n">
        <x:v>2735</x:v>
      </x:c>
      <x:c r="H86" s="11" t="n">
        <x:v>252</x:v>
      </x:c>
      <x:c r="I86" s="11" t="n">
        <x:v>214</x:v>
      </x:c>
      <x:c r="J86" s="11" t="n">
        <x:v>3190758</x:v>
      </x:c>
      <x:c r="K86" s="11" t="n">
        <x:v>3154357</x:v>
      </x:c>
      <x:c r="L86" s="11" t="n">
        <x:v>157806</x:v>
      </x:c>
      <x:c r="M86" s="11" t="n">
        <x:v>145593</x:v>
      </x:c>
      <x:c r="N86" s="11" t="n">
        <x:v>87163</x:v>
      </x:c>
      <x:c r="O86" s="11" t="n">
        <x:v>15708</x:v>
      </x:c>
      <x:c r="P86" s="11" t="n">
        <x:v>89</x:v>
      </x:c>
      <x:c r="Q86" s="2"/>
      <x:c r="R86" s="2"/>
      <x:c r="S86" s="2"/>
      <x:c r="T86" s="2"/>
      <x:c r="U86" s="2"/>
    </x:row>
    <x:row r="87" ht="26" customHeight="1">
      <x:c r="A87" s="2" t="str">
        <x:v>E06000042</x:v>
      </x:c>
      <x:c r="B87" s="2" t="str">
        <x:v>State-funded secondary</x:v>
      </x:c>
      <x:c r="C87" s="2" t="str">
        <x:v>Milton Keynes</x:v>
      </x:c>
      <x:c r="D87" s="11" t="n">
        <x:v>20616</x:v>
      </x:c>
      <x:c r="E87" s="11" t="n">
        <x:v>20877</x:v>
      </x:c>
      <x:c r="F87" s="11" t="n">
        <x:v>4216</x:v>
      </x:c>
      <x:c r="G87" s="11" t="n">
        <x:v>4145</x:v>
      </x:c>
      <x:c r="H87" s="11" t="n">
        <x:v>655</x:v>
      </x:c>
      <x:c r="I87" s="11" t="n">
        <x:v>669</x:v>
      </x:c>
      <x:c r="J87" s="11" t="n">
        <x:v>2830156</x:v>
      </x:c>
      <x:c r="K87" s="11" t="n">
        <x:v>2881787</x:v>
      </x:c>
      <x:c r="L87" s="11" t="n">
        <x:v>212937</x:v>
      </x:c>
      <x:c r="M87" s="11" t="n">
        <x:v>209050</x:v>
      </x:c>
      <x:c r="N87" s="11" t="n">
        <x:v>110961</x:v>
      </x:c>
      <x:c r="O87" s="11" t="n">
        <x:v>50955</x:v>
      </x:c>
      <x:c r="P87" s="11" t="n">
        <x:v>15</x:v>
      </x:c>
      <x:c r="Q87" s="2"/>
      <x:c r="R87" s="2"/>
      <x:c r="S87" s="2"/>
      <x:c r="T87" s="2"/>
      <x:c r="U87" s="2"/>
    </x:row>
    <x:row r="88" ht="26" customHeight="1">
      <x:c r="A88" s="2" t="str">
        <x:v>E06000043</x:v>
      </x:c>
      <x:c r="B88" s="2" t="str">
        <x:v>State-funded primary</x:v>
      </x:c>
      <x:c r="C88" s="2" t="str">
        <x:v>Brighton and Hove</x:v>
      </x:c>
      <x:c r="D88" s="11" t="n">
        <x:v>14706</x:v>
      </x:c>
      <x:c r="E88" s="11" t="n">
        <x:v>14330</x:v>
      </x:c>
      <x:c r="F88" s="11" t="n">
        <x:v>2088</x:v>
      </x:c>
      <x:c r="G88" s="11" t="n">
        <x:v>2067</x:v>
      </x:c>
      <x:c r="H88" s="11" t="n">
        <x:v>170</x:v>
      </x:c>
      <x:c r="I88" s="11" t="n">
        <x:v>186</x:v>
      </x:c>
      <x:c r="J88" s="11" t="n">
        <x:v>2092018</x:v>
      </x:c>
      <x:c r="K88" s="11" t="n">
        <x:v>1990939</x:v>
      </x:c>
      <x:c r="L88" s="11" t="n">
        <x:v>111948</x:v>
      </x:c>
      <x:c r="M88" s="11" t="n">
        <x:v>108166</x:v>
      </x:c>
      <x:c r="N88" s="11" t="n">
        <x:v>63478</x:v>
      </x:c>
      <x:c r="O88" s="11" t="n">
        <x:v>12318</x:v>
      </x:c>
      <x:c r="P88" s="11" t="n">
        <x:v>48</x:v>
      </x:c>
      <x:c r="Q88" s="2"/>
      <x:c r="R88" s="2"/>
      <x:c r="S88" s="2"/>
      <x:c r="T88" s="2"/>
      <x:c r="U88" s="2"/>
    </x:row>
    <x:row r="89" ht="26" customHeight="1">
      <x:c r="A89" s="2" t="str">
        <x:v>E06000043</x:v>
      </x:c>
      <x:c r="B89" s="2" t="str">
        <x:v>State-funded secondary</x:v>
      </x:c>
      <x:c r="C89" s="2" t="str">
        <x:v>Brighton and Hove</x:v>
      </x:c>
      <x:c r="D89" s="11" t="n">
        <x:v>12104</x:v>
      </x:c>
      <x:c r="E89" s="11" t="n">
        <x:v>11915</x:v>
      </x:c>
      <x:c r="F89" s="11" t="n">
        <x:v>3075</x:v>
      </x:c>
      <x:c r="G89" s="11" t="n">
        <x:v>3211</x:v>
      </x:c>
      <x:c r="H89" s="11" t="n">
        <x:v>564</x:v>
      </x:c>
      <x:c r="I89" s="11" t="n">
        <x:v>526</x:v>
      </x:c>
      <x:c r="J89" s="11" t="n">
        <x:v>1687120</x:v>
      </x:c>
      <x:c r="K89" s="11" t="n">
        <x:v>1619228</x:v>
      </x:c>
      <x:c r="L89" s="11" t="n">
        <x:v>162021</x:v>
      </x:c>
      <x:c r="M89" s="11" t="n">
        <x:v>156678</x:v>
      </x:c>
      <x:c r="N89" s="11" t="n">
        <x:v>90647</x:v>
      </x:c>
      <x:c r="O89" s="11" t="n">
        <x:v>35818</x:v>
      </x:c>
      <x:c r="P89" s="11" t="n">
        <x:v>10</x:v>
      </x:c>
      <x:c r="Q89" s="2"/>
      <x:c r="R89" s="2"/>
      <x:c r="S89" s="2"/>
      <x:c r="T89" s="2"/>
      <x:c r="U89" s="2"/>
    </x:row>
    <x:row r="90" ht="26" customHeight="1">
      <x:c r="A90" s="2" t="str">
        <x:v>E06000044</x:v>
      </x:c>
      <x:c r="B90" s="2" t="str">
        <x:v>State-funded primary</x:v>
      </x:c>
      <x:c r="C90" s="2" t="str">
        <x:v>Portsmouth</x:v>
      </x:c>
      <x:c r="D90" s="11" t="n">
        <x:v>13627</x:v>
      </x:c>
      <x:c r="E90" s="11" t="n">
        <x:v>13178</x:v>
      </x:c>
      <x:c r="F90" s="11" t="n">
        <x:v>1881</x:v>
      </x:c>
      <x:c r="G90" s="11" t="n">
        <x:v>1873</x:v>
      </x:c>
      <x:c r="H90" s="11" t="n">
        <x:v>127</x:v>
      </x:c>
      <x:c r="I90" s="11" t="n">
        <x:v>139</x:v>
      </x:c>
      <x:c r="J90" s="11" t="n">
        <x:v>1854334</x:v>
      </x:c>
      <x:c r="K90" s="11" t="n">
        <x:v>1766891</x:v>
      </x:c>
      <x:c r="L90" s="11" t="n">
        <x:v>93257</x:v>
      </x:c>
      <x:c r="M90" s="11" t="n">
        <x:v>88305</x:v>
      </x:c>
      <x:c r="N90" s="11" t="n">
        <x:v>50080</x:v>
      </x:c>
      <x:c r="O90" s="11" t="n">
        <x:v>12732</x:v>
      </x:c>
      <x:c r="P90" s="11" t="n">
        <x:v>45</x:v>
      </x:c>
      <x:c r="Q90" s="2"/>
      <x:c r="R90" s="2"/>
      <x:c r="S90" s="2"/>
      <x:c r="T90" s="2"/>
      <x:c r="U90" s="2"/>
    </x:row>
    <x:row r="91" ht="26" customHeight="1">
      <x:c r="A91" s="2" t="str">
        <x:v>E06000044</x:v>
      </x:c>
      <x:c r="B91" s="2" t="str">
        <x:v>State-funded secondary</x:v>
      </x:c>
      <x:c r="C91" s="2" t="str">
        <x:v>Portsmouth</x:v>
      </x:c>
      <x:c r="D91" s="11" t="n">
        <x:v>11324</x:v>
      </x:c>
      <x:c r="E91" s="11" t="n">
        <x:v>11387</x:v>
      </x:c>
      <x:c r="F91" s="11" t="n">
        <x:v>2785</x:v>
      </x:c>
      <x:c r="G91" s="11" t="n">
        <x:v>2753</x:v>
      </x:c>
      <x:c r="H91" s="11" t="n">
        <x:v>500</x:v>
      </x:c>
      <x:c r="I91" s="11" t="n">
        <x:v>465</x:v>
      </x:c>
      <x:c r="J91" s="11" t="n">
        <x:v>1506178</x:v>
      </x:c>
      <x:c r="K91" s="11" t="n">
        <x:v>1534249</x:v>
      </x:c>
      <x:c r="L91" s="11" t="n">
        <x:v>137327</x:v>
      </x:c>
      <x:c r="M91" s="11" t="n">
        <x:v>135712</x:v>
      </x:c>
      <x:c r="N91" s="11" t="n">
        <x:v>58136</x:v>
      </x:c>
      <x:c r="O91" s="11" t="n">
        <x:v>48386</x:v>
      </x:c>
      <x:c r="P91" s="11" t="n">
        <x:v>11</x:v>
      </x:c>
      <x:c r="Q91" s="2"/>
      <x:c r="R91" s="2"/>
      <x:c r="S91" s="2"/>
      <x:c r="T91" s="2"/>
      <x:c r="U91" s="2"/>
    </x:row>
    <x:row r="92" ht="26" customHeight="1">
      <x:c r="A92" s="2" t="str">
        <x:v>E06000045</x:v>
      </x:c>
      <x:c r="B92" s="2" t="str">
        <x:v>State-funded primary</x:v>
      </x:c>
      <x:c r="C92" s="2" t="str">
        <x:v>Southampton</x:v>
      </x:c>
      <x:c r="D92" s="11" t="n">
        <x:v>16756</x:v>
      </x:c>
      <x:c r="E92" s="11" t="n">
        <x:v>16328</x:v>
      </x:c>
      <x:c r="F92" s="11" t="n">
        <x:v>2661</x:v>
      </x:c>
      <x:c r="G92" s="11" t="n">
        <x:v>2857</x:v>
      </x:c>
      <x:c r="H92" s="11" t="n">
        <x:v>207</x:v>
      </x:c>
      <x:c r="I92" s="11" t="n">
        <x:v>199</x:v>
      </x:c>
      <x:c r="J92" s="11" t="n">
        <x:v>2325649</x:v>
      </x:c>
      <x:c r="K92" s="11" t="n">
        <x:v>2217260</x:v>
      </x:c>
      <x:c r="L92" s="11" t="n">
        <x:v>128177</x:v>
      </x:c>
      <x:c r="M92" s="11" t="n">
        <x:v>124460</x:v>
      </x:c>
      <x:c r="N92" s="11" t="n">
        <x:v>73154</x:v>
      </x:c>
      <x:c r="O92" s="11" t="n">
        <x:v>19201</x:v>
      </x:c>
      <x:c r="P92" s="11" t="n">
        <x:v>54</x:v>
      </x:c>
      <x:c r="Q92" s="2"/>
      <x:c r="R92" s="2"/>
      <x:c r="S92" s="2"/>
      <x:c r="T92" s="2"/>
      <x:c r="U92" s="2"/>
    </x:row>
    <x:row r="93" ht="26" customHeight="1">
      <x:c r="A93" s="2" t="str">
        <x:v>E06000045</x:v>
      </x:c>
      <x:c r="B93" s="2" t="str">
        <x:v>State-funded secondary</x:v>
      </x:c>
      <x:c r="C93" s="2" t="str">
        <x:v>Southampton</x:v>
      </x:c>
      <x:c r="D93" s="11" t="n">
        <x:v>13780</x:v>
      </x:c>
      <x:c r="E93" s="11" t="n">
        <x:v>13740</x:v>
      </x:c>
      <x:c r="F93" s="11" t="n">
        <x:v>3380</x:v>
      </x:c>
      <x:c r="G93" s="11" t="n">
        <x:v>3546</x:v>
      </x:c>
      <x:c r="H93" s="11" t="n">
        <x:v>620</x:v>
      </x:c>
      <x:c r="I93" s="11" t="n">
        <x:v>679</x:v>
      </x:c>
      <x:c r="J93" s="11" t="n">
        <x:v>1911627</x:v>
      </x:c>
      <x:c r="K93" s="11" t="n">
        <x:v>1849927</x:v>
      </x:c>
      <x:c r="L93" s="11" t="n">
        <x:v>177160</x:v>
      </x:c>
      <x:c r="M93" s="11" t="n">
        <x:v>178724</x:v>
      </x:c>
      <x:c r="N93" s="11" t="n">
        <x:v>75739</x:v>
      </x:c>
      <x:c r="O93" s="11" t="n">
        <x:v>60306</x:v>
      </x:c>
      <x:c r="P93" s="11" t="n">
        <x:v>13</x:v>
      </x:c>
      <x:c r="Q93" s="2"/>
      <x:c r="R93" s="2"/>
      <x:c r="S93" s="2"/>
      <x:c r="T93" s="2"/>
      <x:c r="U93" s="2"/>
    </x:row>
    <x:row r="94" ht="26" customHeight="1">
      <x:c r="A94" s="2" t="str">
        <x:v>E06000046</x:v>
      </x:c>
      <x:c r="B94" s="2" t="str">
        <x:v>State-funded primary</x:v>
      </x:c>
      <x:c r="C94" s="2" t="str">
        <x:v>Isle of Wight</x:v>
      </x:c>
      <x:c r="D94" s="11" t="n">
        <x:v>7372</x:v>
      </x:c>
      <x:c r="E94" s="11" t="n">
        <x:v>6957</x:v>
      </x:c>
      <x:c r="F94" s="11" t="n">
        <x:v>1335</x:v>
      </x:c>
      <x:c r="G94" s="11" t="n">
        <x:v>1228</x:v>
      </x:c>
      <x:c r="H94" s="11" t="n">
        <x:v>66</x:v>
      </x:c>
      <x:c r="I94" s="11" t="n">
        <x:v>110</x:v>
      </x:c>
      <x:c r="J94" s="11" t="n">
        <x:v>976628</x:v>
      </x:c>
      <x:c r="K94" s="11" t="n">
        <x:v>926128</x:v>
      </x:c>
      <x:c r="L94" s="11" t="n">
        <x:v>56246</x:v>
      </x:c>
      <x:c r="M94" s="11" t="n">
        <x:v>53495</x:v>
      </x:c>
      <x:c r="N94" s="11" t="n">
        <x:v>31656</x:v>
      </x:c>
      <x:c r="O94" s="11" t="n">
        <x:v>5347</x:v>
      </x:c>
      <x:c r="P94" s="11" t="n">
        <x:v>36</x:v>
      </x:c>
      <x:c r="Q94" s="2"/>
      <x:c r="R94" s="2"/>
      <x:c r="S94" s="2"/>
      <x:c r="T94" s="2"/>
      <x:c r="U94" s="2"/>
    </x:row>
    <x:row r="95" ht="26" customHeight="1">
      <x:c r="A95" s="2" t="str">
        <x:v>E06000046</x:v>
      </x:c>
      <x:c r="B95" s="2" t="str">
        <x:v>State-funded secondary</x:v>
      </x:c>
      <x:c r="C95" s="2" t="str">
        <x:v>Isle of Wight</x:v>
      </x:c>
      <x:c r="D95" s="11" t="n">
        <x:v>6598</x:v>
      </x:c>
      <x:c r="E95" s="11" t="n">
        <x:v>6535</x:v>
      </x:c>
      <x:c r="F95" s="11" t="n">
        <x:v>1836</x:v>
      </x:c>
      <x:c r="G95" s="11" t="n">
        <x:v>1795</x:v>
      </x:c>
      <x:c r="H95" s="11" t="n">
        <x:v>280</x:v>
      </x:c>
      <x:c r="I95" s="11" t="n">
        <x:v>311</x:v>
      </x:c>
      <x:c r="J95" s="11" t="n">
        <x:v>853681</x:v>
      </x:c>
      <x:c r="K95" s="11" t="n">
        <x:v>843788</x:v>
      </x:c>
      <x:c r="L95" s="11" t="n">
        <x:v>79307</x:v>
      </x:c>
      <x:c r="M95" s="11" t="n">
        <x:v>79032</x:v>
      </x:c>
      <x:c r="N95" s="11" t="n">
        <x:v>47466</x:v>
      </x:c>
      <x:c r="O95" s="11" t="n">
        <x:v>11525</x:v>
      </x:c>
      <x:c r="P95" s="11" t="n">
        <x:v>7</x:v>
      </x:c>
      <x:c r="Q95" s="2"/>
      <x:c r="R95" s="2"/>
      <x:c r="S95" s="2"/>
      <x:c r="T95" s="2"/>
      <x:c r="U95" s="2"/>
    </x:row>
    <x:row r="96" ht="26" customHeight="1">
      <x:c r="A96" s="2" t="str">
        <x:v>E06000047</x:v>
      </x:c>
      <x:c r="B96" s="2" t="str">
        <x:v>State-funded primary</x:v>
      </x:c>
      <x:c r="C96" s="2" t="str">
        <x:v>County Durham</x:v>
      </x:c>
      <x:c r="D96" s="11" t="n">
        <x:v>32410</x:v>
      </x:c>
      <x:c r="E96" s="11" t="n">
        <x:v>31450</x:v>
      </x:c>
      <x:c r="F96" s="11" t="n">
        <x:v>5008</x:v>
      </x:c>
      <x:c r="G96" s="11" t="n">
        <x:v>5194</x:v>
      </x:c>
      <x:c r="H96" s="11" t="n">
        <x:v>237</x:v>
      </x:c>
      <x:c r="I96" s="11" t="n">
        <x:v>287</x:v>
      </x:c>
      <x:c r="J96" s="11" t="n">
        <x:v>4576136</x:v>
      </x:c>
      <x:c r="K96" s="11" t="n">
        <x:v>4489872</x:v>
      </x:c>
      <x:c r="L96" s="11" t="n">
        <x:v>241458</x:v>
      </x:c>
      <x:c r="M96" s="11" t="n">
        <x:v>246802</x:v>
      </x:c>
      <x:c r="N96" s="11" t="n">
        <x:v>146190</x:v>
      </x:c>
      <x:c r="O96" s="11" t="n">
        <x:v>28557</x:v>
      </x:c>
      <x:c r="P96" s="11" t="n">
        <x:v>207</x:v>
      </x:c>
      <x:c r="Q96" s="2"/>
      <x:c r="R96" s="2"/>
      <x:c r="S96" s="2"/>
      <x:c r="T96" s="2"/>
      <x:c r="U96" s="2"/>
    </x:row>
    <x:row r="97" ht="26" customHeight="1">
      <x:c r="A97" s="2" t="str">
        <x:v>E06000047</x:v>
      </x:c>
      <x:c r="B97" s="2" t="str">
        <x:v>State-funded secondary</x:v>
      </x:c>
      <x:c r="C97" s="2" t="str">
        <x:v>County Durham</x:v>
      </x:c>
      <x:c r="D97" s="11" t="n">
        <x:v>27000</x:v>
      </x:c>
      <x:c r="E97" s="11" t="n">
        <x:v>26780</x:v>
      </x:c>
      <x:c r="F97" s="11" t="n">
        <x:v>6374</x:v>
      </x:c>
      <x:c r="G97" s="11" t="n">
        <x:v>6348</x:v>
      </x:c>
      <x:c r="H97" s="11" t="n">
        <x:v>929</x:v>
      </x:c>
      <x:c r="I97" s="11" t="n">
        <x:v>835</x:v>
      </x:c>
      <x:c r="J97" s="11" t="n">
        <x:v>3737095</x:v>
      </x:c>
      <x:c r="K97" s="11" t="n">
        <x:v>3743305</x:v>
      </x:c>
      <x:c r="L97" s="11" t="n">
        <x:v>308044</x:v>
      </x:c>
      <x:c r="M97" s="11" t="n">
        <x:v>304770</x:v>
      </x:c>
      <x:c r="N97" s="11" t="n">
        <x:v>155296</x:v>
      </x:c>
      <x:c r="O97" s="11" t="n">
        <x:v>86036</x:v>
      </x:c>
      <x:c r="P97" s="11" t="n">
        <x:v>30</x:v>
      </x:c>
      <x:c r="Q97" s="2"/>
      <x:c r="R97" s="2"/>
      <x:c r="S97" s="2"/>
      <x:c r="T97" s="2"/>
      <x:c r="U97" s="2"/>
    </x:row>
    <x:row r="98" ht="26" customHeight="1">
      <x:c r="A98" s="2" t="str">
        <x:v>E06000049</x:v>
      </x:c>
      <x:c r="B98" s="2" t="str">
        <x:v>State-funded primary</x:v>
      </x:c>
      <x:c r="C98" s="2" t="str">
        <x:v>Cheshire East</x:v>
      </x:c>
      <x:c r="D98" s="11" t="n">
        <x:v>25703</x:v>
      </x:c>
      <x:c r="E98" s="11" t="n">
        <x:v>25605</x:v>
      </x:c>
      <x:c r="F98" s="11" t="n">
        <x:v>2952</x:v>
      </x:c>
      <x:c r="G98" s="11" t="n">
        <x:v>3126</x:v>
      </x:c>
      <x:c r="H98" s="11" t="n">
        <x:v>156</x:v>
      </x:c>
      <x:c r="I98" s="11" t="n">
        <x:v>183</x:v>
      </x:c>
      <x:c r="J98" s="11" t="n">
        <x:v>3679324</x:v>
      </x:c>
      <x:c r="K98" s="11" t="n">
        <x:v>3644627</x:v>
      </x:c>
      <x:c r="L98" s="11" t="n">
        <x:v>163721</x:v>
      </x:c>
      <x:c r="M98" s="11" t="n">
        <x:v>170421</x:v>
      </x:c>
      <x:c r="N98" s="11" t="n">
        <x:v>110135</x:v>
      </x:c>
      <x:c r="O98" s="11" t="n">
        <x:v>10001</x:v>
      </x:c>
      <x:c r="P98" s="11" t="n">
        <x:v>123</x:v>
      </x:c>
      <x:c r="Q98" s="2"/>
      <x:c r="R98" s="2"/>
      <x:c r="S98" s="2"/>
      <x:c r="T98" s="2"/>
      <x:c r="U98" s="2"/>
    </x:row>
    <x:row r="99" ht="26" customHeight="1">
      <x:c r="A99" s="2" t="str">
        <x:v>E06000049</x:v>
      </x:c>
      <x:c r="B99" s="2" t="str">
        <x:v>State-funded secondary</x:v>
      </x:c>
      <x:c r="C99" s="2" t="str">
        <x:v>Cheshire East</x:v>
      </x:c>
      <x:c r="D99" s="11" t="n">
        <x:v>21975</x:v>
      </x:c>
      <x:c r="E99" s="11" t="n">
        <x:v>21810</x:v>
      </x:c>
      <x:c r="F99" s="11" t="n">
        <x:v>4180</x:v>
      </x:c>
      <x:c r="G99" s="11" t="n">
        <x:v>4357</x:v>
      </x:c>
      <x:c r="H99" s="11" t="n">
        <x:v>606</x:v>
      </x:c>
      <x:c r="I99" s="11" t="n">
        <x:v>602</x:v>
      </x:c>
      <x:c r="J99" s="11" t="n">
        <x:v>3113018</x:v>
      </x:c>
      <x:c r="K99" s="11" t="n">
        <x:v>3078884</x:v>
      </x:c>
      <x:c r="L99" s="11" t="n">
        <x:v>225851</x:v>
      </x:c>
      <x:c r="M99" s="11" t="n">
        <x:v>229883</x:v>
      </x:c>
      <x:c r="N99" s="11" t="n">
        <x:v>141867</x:v>
      </x:c>
      <x:c r="O99" s="11" t="n">
        <x:v>32488</x:v>
      </x:c>
      <x:c r="P99" s="11" t="n">
        <x:v>22</x:v>
      </x:c>
      <x:c r="Q99" s="2"/>
      <x:c r="R99" s="2"/>
      <x:c r="S99" s="2"/>
      <x:c r="T99" s="2"/>
      <x:c r="U99" s="2"/>
    </x:row>
    <x:row r="100" ht="26" customHeight="1">
      <x:c r="A100" s="2" t="str">
        <x:v>E06000050</x:v>
      </x:c>
      <x:c r="B100" s="2" t="str">
        <x:v>State-funded primary</x:v>
      </x:c>
      <x:c r="C100" s="2" t="str">
        <x:v>Cheshire West and Chester</x:v>
      </x:c>
      <x:c r="D100" s="11" t="n">
        <x:v>23472</x:v>
      </x:c>
      <x:c r="E100" s="11" t="n">
        <x:v>23101</x:v>
      </x:c>
      <x:c r="F100" s="11" t="n">
        <x:v>3075</x:v>
      </x:c>
      <x:c r="G100" s="11" t="n">
        <x:v>3124</x:v>
      </x:c>
      <x:c r="H100" s="11" t="n">
        <x:v>165</x:v>
      </x:c>
      <x:c r="I100" s="11" t="n">
        <x:v>160</x:v>
      </x:c>
      <x:c r="J100" s="11" t="n">
        <x:v>3362500</x:v>
      </x:c>
      <x:c r="K100" s="11" t="n">
        <x:v>3305096</x:v>
      </x:c>
      <x:c r="L100" s="11" t="n">
        <x:v>162573</x:v>
      </x:c>
      <x:c r="M100" s="11" t="n">
        <x:v>163942</x:v>
      </x:c>
      <x:c r="N100" s="11" t="n">
        <x:v>96696</x:v>
      </x:c>
      <x:c r="O100" s="11" t="n">
        <x:v>12533</x:v>
      </x:c>
      <x:c r="P100" s="11" t="n">
        <x:v>128</x:v>
      </x:c>
      <x:c r="Q100" s="2"/>
      <x:c r="R100" s="2"/>
      <x:c r="S100" s="2"/>
      <x:c r="T100" s="2"/>
      <x:c r="U100" s="2"/>
    </x:row>
    <x:row r="101" ht="26" customHeight="1">
      <x:c r="A101" s="2" t="str">
        <x:v>E06000050</x:v>
      </x:c>
      <x:c r="B101" s="2" t="str">
        <x:v>State-funded secondary</x:v>
      </x:c>
      <x:c r="C101" s="2" t="str">
        <x:v>Cheshire West and Chester</x:v>
      </x:c>
      <x:c r="D101" s="11" t="n">
        <x:v>19523</x:v>
      </x:c>
      <x:c r="E101" s="11" t="n">
        <x:v>19372</x:v>
      </x:c>
      <x:c r="F101" s="11" t="n">
        <x:v>4366</x:v>
      </x:c>
      <x:c r="G101" s="11" t="n">
        <x:v>4618</x:v>
      </x:c>
      <x:c r="H101" s="11" t="n">
        <x:v>718</x:v>
      </x:c>
      <x:c r="I101" s="11" t="n">
        <x:v>722</x:v>
      </x:c>
      <x:c r="J101" s="11" t="n">
        <x:v>2759251</x:v>
      </x:c>
      <x:c r="K101" s="11" t="n">
        <x:v>2742817</x:v>
      </x:c>
      <x:c r="L101" s="11" t="n">
        <x:v>229261</x:v>
      </x:c>
      <x:c r="M101" s="11" t="n">
        <x:v>239591</x:v>
      </x:c>
      <x:c r="N101" s="11" t="n">
        <x:v>124310</x:v>
      </x:c>
      <x:c r="O101" s="11" t="n">
        <x:v>56338</x:v>
      </x:c>
      <x:c r="P101" s="11" t="n">
        <x:v>20</x:v>
      </x:c>
      <x:c r="Q101" s="2"/>
      <x:c r="R101" s="2"/>
      <x:c r="S101" s="2"/>
      <x:c r="T101" s="2"/>
      <x:c r="U101" s="2"/>
    </x:row>
    <x:row r="102" ht="26" customHeight="1">
      <x:c r="A102" s="2" t="str">
        <x:v>E06000051</x:v>
      </x:c>
      <x:c r="B102" s="2" t="str">
        <x:v>State-funded primary</x:v>
      </x:c>
      <x:c r="C102" s="2" t="str">
        <x:v>Shropshire</x:v>
      </x:c>
      <x:c r="D102" s="11" t="n">
        <x:v>17909</x:v>
      </x:c>
      <x:c r="E102" s="11" t="n">
        <x:v>17677</x:v>
      </x:c>
      <x:c r="F102" s="11" t="n">
        <x:v>2511</x:v>
      </x:c>
      <x:c r="G102" s="11" t="n">
        <x:v>2273</x:v>
      </x:c>
      <x:c r="H102" s="11" t="n">
        <x:v>101</x:v>
      </x:c>
      <x:c r="I102" s="11" t="n">
        <x:v>136</x:v>
      </x:c>
      <x:c r="J102" s="11" t="n">
        <x:v>2531623</x:v>
      </x:c>
      <x:c r="K102" s="11" t="n">
        <x:v>2491864</x:v>
      </x:c>
      <x:c r="L102" s="11" t="n">
        <x:v>129551</x:v>
      </x:c>
      <x:c r="M102" s="11" t="n">
        <x:v>122049</x:v>
      </x:c>
      <x:c r="N102" s="11" t="n">
        <x:v>77654</x:v>
      </x:c>
      <x:c r="O102" s="11" t="n">
        <x:v>8538</x:v>
      </x:c>
      <x:c r="P102" s="11" t="n">
        <x:v>127</x:v>
      </x:c>
      <x:c r="Q102" s="2"/>
      <x:c r="R102" s="2"/>
      <x:c r="S102" s="2"/>
      <x:c r="T102" s="2"/>
      <x:c r="U102" s="2"/>
    </x:row>
    <x:row r="103" ht="26" customHeight="1">
      <x:c r="A103" s="2" t="str">
        <x:v>E06000051</x:v>
      </x:c>
      <x:c r="B103" s="2" t="str">
        <x:v>State-funded secondary</x:v>
      </x:c>
      <x:c r="C103" s="2" t="str">
        <x:v>Shropshire</x:v>
      </x:c>
      <x:c r="D103" s="11" t="n">
        <x:v>15805</x:v>
      </x:c>
      <x:c r="E103" s="11" t="n">
        <x:v>15664</x:v>
      </x:c>
      <x:c r="F103" s="11" t="n">
        <x:v>3604</x:v>
      </x:c>
      <x:c r="G103" s="11" t="n">
        <x:v>3695</x:v>
      </x:c>
      <x:c r="H103" s="11" t="n">
        <x:v>444</x:v>
      </x:c>
      <x:c r="I103" s="11" t="n">
        <x:v>487</x:v>
      </x:c>
      <x:c r="J103" s="11" t="n">
        <x:v>2152892</x:v>
      </x:c>
      <x:c r="K103" s="11" t="n">
        <x:v>2109036</x:v>
      </x:c>
      <x:c r="L103" s="11" t="n">
        <x:v>168076</x:v>
      </x:c>
      <x:c r="M103" s="11" t="n">
        <x:v>173543</x:v>
      </x:c>
      <x:c r="N103" s="11" t="n">
        <x:v>97733</x:v>
      </x:c>
      <x:c r="O103" s="11" t="n">
        <x:v>36713</x:v>
      </x:c>
      <x:c r="P103" s="11" t="n">
        <x:v>20</x:v>
      </x:c>
      <x:c r="Q103" s="2"/>
      <x:c r="R103" s="2"/>
      <x:c r="S103" s="2"/>
      <x:c r="T103" s="2"/>
      <x:c r="U103" s="2"/>
    </x:row>
    <x:row r="104" ht="26" customHeight="1">
      <x:c r="A104" s="2" t="str">
        <x:v>E06000052</x:v>
      </x:c>
      <x:c r="B104" s="2" t="str">
        <x:v>State-funded primary</x:v>
      </x:c>
      <x:c r="C104" s="2" t="str">
        <x:v>Cornwall</x:v>
      </x:c>
      <x:c r="D104" s="11" t="n">
        <x:v>34322</x:v>
      </x:c>
      <x:c r="E104" s="11" t="n">
        <x:v>33374</x:v>
      </x:c>
      <x:c r="F104" s="11" t="n">
        <x:v>4887</x:v>
      </x:c>
      <x:c r="G104" s="11" t="n">
        <x:v>5029</x:v>
      </x:c>
      <x:c r="H104" s="11" t="n">
        <x:v>281</x:v>
      </x:c>
      <x:c r="I104" s="11" t="n">
        <x:v>329</x:v>
      </x:c>
      <x:c r="J104" s="11" t="n">
        <x:v>4784653</x:v>
      </x:c>
      <x:c r="K104" s="11" t="n">
        <x:v>4588893</x:v>
      </x:c>
      <x:c r="L104" s="11" t="n">
        <x:v>248752</x:v>
      </x:c>
      <x:c r="M104" s="11" t="n">
        <x:v>244228</x:v>
      </x:c>
      <x:c r="N104" s="11" t="n">
        <x:v>145294</x:v>
      </x:c>
      <x:c r="O104" s="11" t="n">
        <x:v>22550</x:v>
      </x:c>
      <x:c r="P104" s="11" t="n">
        <x:v>236</x:v>
      </x:c>
      <x:c r="Q104" s="2"/>
      <x:c r="R104" s="2"/>
      <x:c r="S104" s="2"/>
      <x:c r="T104" s="2"/>
      <x:c r="U104" s="2"/>
    </x:row>
    <x:row r="105" ht="26" customHeight="1">
      <x:c r="A105" s="2" t="str">
        <x:v>E06000052</x:v>
      </x:c>
      <x:c r="B105" s="2" t="str">
        <x:v>State-funded secondary</x:v>
      </x:c>
      <x:c r="C105" s="2" t="str">
        <x:v>Cornwall</x:v>
      </x:c>
      <x:c r="D105" s="11" t="n">
        <x:v>29970</x:v>
      </x:c>
      <x:c r="E105" s="11" t="n">
        <x:v>29655</x:v>
      </x:c>
      <x:c r="F105" s="11" t="n">
        <x:v>7210</x:v>
      </x:c>
      <x:c r="G105" s="11" t="n">
        <x:v>7700</x:v>
      </x:c>
      <x:c r="H105" s="11" t="n">
        <x:v>1097</x:v>
      </x:c>
      <x:c r="I105" s="11" t="n">
        <x:v>1065</x:v>
      </x:c>
      <x:c r="J105" s="11" t="n">
        <x:v>4080283</x:v>
      </x:c>
      <x:c r="K105" s="11" t="n">
        <x:v>3952504</x:v>
      </x:c>
      <x:c r="L105" s="11" t="n">
        <x:v>346647</x:v>
      </x:c>
      <x:c r="M105" s="11" t="n">
        <x:v>345878</x:v>
      </x:c>
      <x:c r="N105" s="11" t="n">
        <x:v>178677</x:v>
      </x:c>
      <x:c r="O105" s="11" t="n">
        <x:v>88018</x:v>
      </x:c>
      <x:c r="P105" s="11" t="n">
        <x:v>31</x:v>
      </x:c>
      <x:c r="Q105" s="2"/>
      <x:c r="R105" s="2"/>
      <x:c r="S105" s="2"/>
      <x:c r="T105" s="2"/>
      <x:c r="U105" s="2"/>
    </x:row>
    <x:row r="106" ht="26" customHeight="1">
      <x:c r="A106" s="2" t="str">
        <x:v>E06000053</x:v>
      </x:c>
      <x:c r="B106" s="2" t="str">
        <x:v>State-funded secondary</x:v>
      </x:c>
      <x:c r="C106" s="2" t="str">
        <x:v>Isles of Scilly</x:v>
      </x:c>
      <x:c r="D106" s="11" t="n">
        <x:v>238</x:v>
      </x:c>
      <x:c r="E106" s="11" t="n">
        <x:v>218</x:v>
      </x:c>
      <x:c r="F106" s="11" t="n">
        <x:v>63</x:v>
      </x:c>
      <x:c r="G106" s="11" t="n">
        <x:v>43</x:v>
      </x:c>
      <x:c r="H106" s="11" t="n">
        <x:v>3</x:v>
      </x:c>
      <x:c r="I106" s="11" t="n">
        <x:v>2</x:v>
      </x:c>
      <x:c r="J106" s="11" t="n">
        <x:v>31597</x:v>
      </x:c>
      <x:c r="K106" s="11" t="n">
        <x:v>29686</x:v>
      </x:c>
      <x:c r="L106" s="11" t="n">
        <x:v>2518</x:v>
      </x:c>
      <x:c r="M106" s="11" t="n">
        <x:v>1983</x:v>
      </x:c>
      <x:c r="N106" s="11" t="n">
        <x:v>784</x:v>
      </x:c>
      <x:c r="O106" s="11" t="n">
        <x:v>105</x:v>
      </x:c>
      <x:c r="P106" s="11" t="n">
        <x:v>1</x:v>
      </x:c>
      <x:c r="Q106" s="2"/>
      <x:c r="R106" s="2"/>
      <x:c r="S106" s="2"/>
      <x:c r="T106" s="2"/>
      <x:c r="U106" s="2"/>
    </x:row>
    <x:row r="107" ht="26" customHeight="1">
      <x:c r="A107" s="2" t="str">
        <x:v>E06000054</x:v>
      </x:c>
      <x:c r="B107" s="2" t="str">
        <x:v>State-funded primary</x:v>
      </x:c>
      <x:c r="C107" s="2" t="str">
        <x:v>Wiltshire</x:v>
      </x:c>
      <x:c r="D107" s="11" t="n">
        <x:v>32106</x:v>
      </x:c>
      <x:c r="E107" s="11" t="n">
        <x:v>31370</x:v>
      </x:c>
      <x:c r="F107" s="11" t="n">
        <x:v>3872</x:v>
      </x:c>
      <x:c r="G107" s="11" t="n">
        <x:v>3594</x:v>
      </x:c>
      <x:c r="H107" s="11" t="n">
        <x:v>253</x:v>
      </x:c>
      <x:c r="I107" s="11" t="n">
        <x:v>221</x:v>
      </x:c>
      <x:c r="J107" s="11" t="n">
        <x:v>4434008</x:v>
      </x:c>
      <x:c r="K107" s="11" t="n">
        <x:v>4340075</x:v>
      </x:c>
      <x:c r="L107" s="11" t="n">
        <x:v>208555</x:v>
      </x:c>
      <x:c r="M107" s="11" t="n">
        <x:v>198856</x:v>
      </x:c>
      <x:c r="N107" s="11" t="n">
        <x:v>120728</x:v>
      </x:c>
      <x:c r="O107" s="11" t="n">
        <x:v>16865</x:v>
      </x:c>
      <x:c r="P107" s="11" t="n">
        <x:v>201</x:v>
      </x:c>
      <x:c r="Q107" s="2"/>
      <x:c r="R107" s="2"/>
      <x:c r="S107" s="2"/>
      <x:c r="T107" s="2"/>
      <x:c r="U107" s="2"/>
    </x:row>
    <x:row r="108" ht="26" customHeight="1">
      <x:c r="A108" s="2" t="str">
        <x:v>E06000054</x:v>
      </x:c>
      <x:c r="B108" s="2" t="str">
        <x:v>State-funded secondary</x:v>
      </x:c>
      <x:c r="C108" s="2" t="str">
        <x:v>Wiltshire</x:v>
      </x:c>
      <x:c r="D108" s="11" t="n">
        <x:v>27600</x:v>
      </x:c>
      <x:c r="E108" s="11" t="n">
        <x:v>27482</x:v>
      </x:c>
      <x:c r="F108" s="11" t="n">
        <x:v>5839</x:v>
      </x:c>
      <x:c r="G108" s="11" t="n">
        <x:v>5938</x:v>
      </x:c>
      <x:c r="H108" s="11" t="n">
        <x:v>1070</x:v>
      </x:c>
      <x:c r="I108" s="11" t="n">
        <x:v>990</x:v>
      </x:c>
      <x:c r="J108" s="11" t="n">
        <x:v>3687465</x:v>
      </x:c>
      <x:c r="K108" s="11" t="n">
        <x:v>3687226</x:v>
      </x:c>
      <x:c r="L108" s="11" t="n">
        <x:v>298738</x:v>
      </x:c>
      <x:c r="M108" s="11" t="n">
        <x:v>298344</x:v>
      </x:c>
      <x:c r="N108" s="11" t="n">
        <x:v>141870</x:v>
      </x:c>
      <x:c r="O108" s="11" t="n">
        <x:v>74936</x:v>
      </x:c>
      <x:c r="P108" s="11" t="n">
        <x:v>28</x:v>
      </x:c>
      <x:c r="Q108" s="2"/>
      <x:c r="R108" s="2"/>
      <x:c r="S108" s="2"/>
      <x:c r="T108" s="2"/>
      <x:c r="U108" s="2"/>
    </x:row>
    <x:row r="109" ht="26" customHeight="1">
      <x:c r="A109" s="2" t="str">
        <x:v>E06000055</x:v>
      </x:c>
      <x:c r="B109" s="2" t="str">
        <x:v>State-funded primary</x:v>
      </x:c>
      <x:c r="C109" s="2" t="str">
        <x:v>Bedford</x:v>
      </x:c>
      <x:c r="D109" s="11" t="n">
        <x:v>14076</x:v>
      </x:c>
      <x:c r="E109" s="11" t="n">
        <x:v>13934</x:v>
      </x:c>
      <x:c r="F109" s="11" t="n">
        <x:v>1884</x:v>
      </x:c>
      <x:c r="G109" s="11" t="n">
        <x:v>1763</x:v>
      </x:c>
      <x:c r="H109" s="11" t="n">
        <x:v>141</x:v>
      </x:c>
      <x:c r="I109" s="11" t="n">
        <x:v>121</x:v>
      </x:c>
      <x:c r="J109" s="11" t="n">
        <x:v>1969867</x:v>
      </x:c>
      <x:c r="K109" s="11" t="n">
        <x:v>1960533</x:v>
      </x:c>
      <x:c r="L109" s="11" t="n">
        <x:v>94596</x:v>
      </x:c>
      <x:c r="M109" s="11" t="n">
        <x:v>91520</x:v>
      </x:c>
      <x:c r="N109" s="11" t="n">
        <x:v>57968</x:v>
      </x:c>
      <x:c r="O109" s="11" t="n">
        <x:v>7707</x:v>
      </x:c>
      <x:c r="P109" s="11" t="n">
        <x:v>55</x:v>
      </x:c>
      <x:c r="Q109" s="2"/>
      <x:c r="R109" s="2"/>
      <x:c r="S109" s="2"/>
      <x:c r="T109" s="2"/>
      <x:c r="U109" s="2"/>
    </x:row>
    <x:row r="110" ht="26" customHeight="1">
      <x:c r="A110" s="2" t="str">
        <x:v>E06000055</x:v>
      </x:c>
      <x:c r="B110" s="2" t="str">
        <x:v>State-funded secondary</x:v>
      </x:c>
      <x:c r="C110" s="2" t="str">
        <x:v>Bedford</x:v>
      </x:c>
      <x:c r="D110" s="11" t="n">
        <x:v>12570</x:v>
      </x:c>
      <x:c r="E110" s="11" t="n">
        <x:v>12530</x:v>
      </x:c>
      <x:c r="F110" s="11" t="n">
        <x:v>2765</x:v>
      </x:c>
      <x:c r="G110" s="11" t="n">
        <x:v>2643</x:v>
      </x:c>
      <x:c r="H110" s="11" t="n">
        <x:v>344</x:v>
      </x:c>
      <x:c r="I110" s="11" t="n">
        <x:v>364</x:v>
      </x:c>
      <x:c r="J110" s="11" t="n">
        <x:v>1725079</x:v>
      </x:c>
      <x:c r="K110" s="11" t="n">
        <x:v>1727767</x:v>
      </x:c>
      <x:c r="L110" s="11" t="n">
        <x:v>131843</x:v>
      </x:c>
      <x:c r="M110" s="11" t="n">
        <x:v>128654</x:v>
      </x:c>
      <x:c r="N110" s="11" t="n">
        <x:v>71031</x:v>
      </x:c>
      <x:c r="O110" s="11" t="n">
        <x:v>29312</x:v>
      </x:c>
      <x:c r="P110" s="11" t="n">
        <x:v>14</x:v>
      </x:c>
      <x:c r="Q110" s="2"/>
      <x:c r="R110" s="2"/>
      <x:c r="S110" s="2"/>
      <x:c r="T110" s="2"/>
      <x:c r="U110" s="2"/>
    </x:row>
    <x:row r="111" ht="26" customHeight="1">
      <x:c r="A111" s="2" t="str">
        <x:v>E06000056</x:v>
      </x:c>
      <x:c r="B111" s="2" t="str">
        <x:v>State-funded primary</x:v>
      </x:c>
      <x:c r="C111" s="2" t="str">
        <x:v>Central Bedfordshire</x:v>
      </x:c>
      <x:c r="D111" s="11" t="n">
        <x:v>18254</x:v>
      </x:c>
      <x:c r="E111" s="11" t="n">
        <x:v>18355</x:v>
      </x:c>
      <x:c r="F111" s="11" t="n">
        <x:v>2512</x:v>
      </x:c>
      <x:c r="G111" s="11" t="n">
        <x:v>2313</x:v>
      </x:c>
      <x:c r="H111" s="11" t="n">
        <x:v>203</x:v>
      </x:c>
      <x:c r="I111" s="11" t="n">
        <x:v>194</x:v>
      </x:c>
      <x:c r="J111" s="11" t="n">
        <x:v>2584626</x:v>
      </x:c>
      <x:c r="K111" s="11" t="n">
        <x:v>2607152</x:v>
      </x:c>
      <x:c r="L111" s="11" t="n">
        <x:v>130149</x:v>
      </x:c>
      <x:c r="M111" s="11" t="n">
        <x:v>124454</x:v>
      </x:c>
      <x:c r="N111" s="11" t="n">
        <x:v>73604</x:v>
      </x:c>
      <x:c r="O111" s="11" t="n">
        <x:v>13231</x:v>
      </x:c>
      <x:c r="P111" s="11" t="n">
        <x:v>95</x:v>
      </x:c>
      <x:c r="Q111" s="2"/>
      <x:c r="R111" s="2"/>
      <x:c r="S111" s="2"/>
      <x:c r="T111" s="2"/>
      <x:c r="U111" s="2"/>
    </x:row>
    <x:row r="112" ht="26" customHeight="1">
      <x:c r="A112" s="2" t="str">
        <x:v>E06000056</x:v>
      </x:c>
      <x:c r="B112" s="2" t="str">
        <x:v>State-funded secondary</x:v>
      </x:c>
      <x:c r="C112" s="2" t="str">
        <x:v>Central Bedfordshire</x:v>
      </x:c>
      <x:c r="D112" s="11" t="n">
        <x:v>21750</x:v>
      </x:c>
      <x:c r="E112" s="11" t="n">
        <x:v>21901</x:v>
      </x:c>
      <x:c r="F112" s="11" t="n">
        <x:v>4032</x:v>
      </x:c>
      <x:c r="G112" s="11" t="n">
        <x:v>4025</x:v>
      </x:c>
      <x:c r="H112" s="11" t="n">
        <x:v>528</x:v>
      </x:c>
      <x:c r="I112" s="11" t="n">
        <x:v>571</x:v>
      </x:c>
      <x:c r="J112" s="11" t="n">
        <x:v>3051957</x:v>
      </x:c>
      <x:c r="K112" s="11" t="n">
        <x:v>3070804</x:v>
      </x:c>
      <x:c r="L112" s="11" t="n">
        <x:v>210227</x:v>
      </x:c>
      <x:c r="M112" s="11" t="n">
        <x:v>212462</x:v>
      </x:c>
      <x:c r="N112" s="11" t="n">
        <x:v>115562</x:v>
      </x:c>
      <x:c r="O112" s="11" t="n">
        <x:v>38487</x:v>
      </x:c>
      <x:c r="P112" s="11" t="n">
        <x:v>27</x:v>
      </x:c>
      <x:c r="Q112" s="2"/>
      <x:c r="R112" s="2"/>
      <x:c r="S112" s="2"/>
      <x:c r="T112" s="2"/>
      <x:c r="U112" s="2"/>
    </x:row>
    <x:row r="113" ht="26" customHeight="1">
      <x:c r="A113" s="2" t="str">
        <x:v>E06000057</x:v>
      </x:c>
      <x:c r="B113" s="2" t="str">
        <x:v>State-funded primary</x:v>
      </x:c>
      <x:c r="C113" s="2" t="str">
        <x:v>Northumberland</x:v>
      </x:c>
      <x:c r="D113" s="11" t="n">
        <x:v>16378</x:v>
      </x:c>
      <x:c r="E113" s="11" t="n">
        <x:v>16356</x:v>
      </x:c>
      <x:c r="F113" s="11" t="n">
        <x:v>2230</x:v>
      </x:c>
      <x:c r="G113" s="11" t="n">
        <x:v>2553</x:v>
      </x:c>
      <x:c r="H113" s="11" t="n">
        <x:v>84</x:v>
      </x:c>
      <x:c r="I113" s="11" t="n">
        <x:v>111</x:v>
      </x:c>
      <x:c r="J113" s="11" t="n">
        <x:v>2311476</x:v>
      </x:c>
      <x:c r="K113" s="11" t="n">
        <x:v>2349831</x:v>
      </x:c>
      <x:c r="L113" s="11" t="n">
        <x:v>110364</x:v>
      </x:c>
      <x:c r="M113" s="11" t="n">
        <x:v>125758</x:v>
      </x:c>
      <x:c r="N113" s="11" t="n">
        <x:v>71789</x:v>
      </x:c>
      <x:c r="O113" s="11" t="n">
        <x:v>15142</x:v>
      </x:c>
      <x:c r="P113" s="11" t="n">
        <x:v>127</x:v>
      </x:c>
      <x:c r="Q113" s="2"/>
      <x:c r="R113" s="2"/>
      <x:c r="S113" s="2"/>
      <x:c r="T113" s="2"/>
      <x:c r="U113" s="2"/>
    </x:row>
    <x:row r="114" ht="26" customHeight="1">
      <x:c r="A114" s="2" t="str">
        <x:v>E06000057</x:v>
      </x:c>
      <x:c r="B114" s="2" t="str">
        <x:v>State-funded secondary</x:v>
      </x:c>
      <x:c r="C114" s="2" t="str">
        <x:v>Northumberland</x:v>
      </x:c>
      <x:c r="D114" s="11" t="n">
        <x:v>19247</x:v>
      </x:c>
      <x:c r="E114" s="11" t="n">
        <x:v>18709</x:v>
      </x:c>
      <x:c r="F114" s="11" t="n">
        <x:v>4059</x:v>
      </x:c>
      <x:c r="G114" s="11" t="n">
        <x:v>4282</x:v>
      </x:c>
      <x:c r="H114" s="11" t="n">
        <x:v>635</x:v>
      </x:c>
      <x:c r="I114" s="11" t="n">
        <x:v>624</x:v>
      </x:c>
      <x:c r="J114" s="11" t="n">
        <x:v>2714561</x:v>
      </x:c>
      <x:c r="K114" s="11" t="n">
        <x:v>2667465</x:v>
      </x:c>
      <x:c r="L114" s="11" t="n">
        <x:v>215386</x:v>
      </x:c>
      <x:c r="M114" s="11" t="n">
        <x:v>223043</x:v>
      </x:c>
      <x:c r="N114" s="11" t="n">
        <x:v>98153</x:v>
      </x:c>
      <x:c r="O114" s="11" t="n">
        <x:v>59686</x:v>
      </x:c>
      <x:c r="P114" s="11" t="n">
        <x:v>30</x:v>
      </x:c>
      <x:c r="Q114" s="2"/>
      <x:c r="R114" s="2"/>
      <x:c r="S114" s="2"/>
      <x:c r="T114" s="2"/>
      <x:c r="U114" s="2"/>
    </x:row>
    <x:row r="115" ht="26" customHeight="1">
      <x:c r="A115" s="2" t="str">
        <x:v>E06000058</x:v>
      </x:c>
      <x:c r="B115" s="2" t="str">
        <x:v>State-funded primary</x:v>
      </x:c>
      <x:c r="C115" s="2" t="str">
        <x:v>Bournemouth, Christchurch and Poole</x:v>
      </x:c>
      <x:c r="D115" s="11" t="n">
        <x:v>22485</x:v>
      </x:c>
      <x:c r="E115" s="11" t="n">
        <x:v>21866</x:v>
      </x:c>
      <x:c r="F115" s="11" t="n">
        <x:v>2886</x:v>
      </x:c>
      <x:c r="G115" s="11" t="n">
        <x:v>2714</x:v>
      </x:c>
      <x:c r="H115" s="11" t="n">
        <x:v>169</x:v>
      </x:c>
      <x:c r="I115" s="11" t="n">
        <x:v>170</x:v>
      </x:c>
      <x:c r="J115" s="11" t="n">
        <x:v>3175890</x:v>
      </x:c>
      <x:c r="K115" s="11" t="n">
        <x:v>3006441</x:v>
      </x:c>
      <x:c r="L115" s="11" t="n">
        <x:v>153957</x:v>
      </x:c>
      <x:c r="M115" s="11" t="n">
        <x:v>139397</x:v>
      </x:c>
      <x:c r="N115" s="11" t="n">
        <x:v>85834</x:v>
      </x:c>
      <x:c r="O115" s="11" t="n">
        <x:v>13027</x:v>
      </x:c>
      <x:c r="P115" s="11" t="n">
        <x:v>66</x:v>
      </x:c>
      <x:c r="Q115" s="2"/>
      <x:c r="R115" s="2"/>
      <x:c r="S115" s="2"/>
      <x:c r="T115" s="2"/>
      <x:c r="U115" s="2"/>
    </x:row>
    <x:row r="116" ht="26" customHeight="1">
      <x:c r="A116" s="2" t="str">
        <x:v>E06000058</x:v>
      </x:c>
      <x:c r="B116" s="2" t="str">
        <x:v>State-funded secondary</x:v>
      </x:c>
      <x:c r="C116" s="2" t="str">
        <x:v>Bournemouth, Christchurch and Poole</x:v>
      </x:c>
      <x:c r="D116" s="11" t="n">
        <x:v>22221</x:v>
      </x:c>
      <x:c r="E116" s="11" t="n">
        <x:v>22085</x:v>
      </x:c>
      <x:c r="F116" s="11" t="n">
        <x:v>4623</x:v>
      </x:c>
      <x:c r="G116" s="11" t="n">
        <x:v>4245</x:v>
      </x:c>
      <x:c r="H116" s="11" t="n">
        <x:v>684</x:v>
      </x:c>
      <x:c r="I116" s="11" t="n">
        <x:v>610</x:v>
      </x:c>
      <x:c r="J116" s="11" t="n">
        <x:v>3066353</x:v>
      </x:c>
      <x:c r="K116" s="11" t="n">
        <x:v>2991143</x:v>
      </x:c>
      <x:c r="L116" s="11" t="n">
        <x:v>233926</x:v>
      </x:c>
      <x:c r="M116" s="11" t="n">
        <x:v>211892</x:v>
      </x:c>
      <x:c r="N116" s="11" t="n">
        <x:v>111543</x:v>
      </x:c>
      <x:c r="O116" s="11" t="n">
        <x:v>49476</x:v>
      </x:c>
      <x:c r="P116" s="11" t="n">
        <x:v>24</x:v>
      </x:c>
      <x:c r="Q116" s="2"/>
      <x:c r="R116" s="2"/>
      <x:c r="S116" s="2"/>
      <x:c r="T116" s="2"/>
      <x:c r="U116" s="2"/>
    </x:row>
    <x:row r="117" ht="26" customHeight="1">
      <x:c r="A117" s="2" t="str">
        <x:v>E06000059</x:v>
      </x:c>
      <x:c r="B117" s="2" t="str">
        <x:v>State-funded primary</x:v>
      </x:c>
      <x:c r="C117" s="2" t="str">
        <x:v>Dorset</x:v>
      </x:c>
      <x:c r="D117" s="11" t="n">
        <x:v>17701</x:v>
      </x:c>
      <x:c r="E117" s="11" t="n">
        <x:v>17096</x:v>
      </x:c>
      <x:c r="F117" s="11" t="n">
        <x:v>2623</x:v>
      </x:c>
      <x:c r="G117" s="11" t="n">
        <x:v>2522</x:v>
      </x:c>
      <x:c r="H117" s="11" t="n">
        <x:v>152</x:v>
      </x:c>
      <x:c r="I117" s="11" t="n">
        <x:v>187</x:v>
      </x:c>
      <x:c r="J117" s="11" t="n">
        <x:v>2476760</x:v>
      </x:c>
      <x:c r="K117" s="11" t="n">
        <x:v>2362952</x:v>
      </x:c>
      <x:c r="L117" s="11" t="n">
        <x:v>131759</x:v>
      </x:c>
      <x:c r="M117" s="11" t="n">
        <x:v>126031</x:v>
      </x:c>
      <x:c r="N117" s="11" t="n">
        <x:v>73966</x:v>
      </x:c>
      <x:c r="O117" s="11" t="n">
        <x:v>13034</x:v>
      </x:c>
      <x:c r="P117" s="11" t="n">
        <x:v>119</x:v>
      </x:c>
      <x:c r="Q117" s="2"/>
      <x:c r="R117" s="2"/>
      <x:c r="S117" s="2"/>
      <x:c r="T117" s="2"/>
      <x:c r="U117" s="2"/>
    </x:row>
    <x:row r="118" ht="26" customHeight="1">
      <x:c r="A118" s="2" t="str">
        <x:v>E06000059</x:v>
      </x:c>
      <x:c r="B118" s="2" t="str">
        <x:v>State-funded secondary</x:v>
      </x:c>
      <x:c r="C118" s="2" t="str">
        <x:v>Dorset</x:v>
      </x:c>
      <x:c r="D118" s="11" t="n">
        <x:v>21854</x:v>
      </x:c>
      <x:c r="E118" s="11" t="n">
        <x:v>21468</x:v>
      </x:c>
      <x:c r="F118" s="11" t="n">
        <x:v>5067</x:v>
      </x:c>
      <x:c r="G118" s="11" t="n">
        <x:v>4953</x:v>
      </x:c>
      <x:c r="H118" s="11" t="n">
        <x:v>862</x:v>
      </x:c>
      <x:c r="I118" s="11" t="n">
        <x:v>736</x:v>
      </x:c>
      <x:c r="J118" s="11" t="n">
        <x:v>3002820</x:v>
      </x:c>
      <x:c r="K118" s="11" t="n">
        <x:v>2906558</x:v>
      </x:c>
      <x:c r="L118" s="11" t="n">
        <x:v>257720</x:v>
      </x:c>
      <x:c r="M118" s="11" t="n">
        <x:v>236856</x:v>
      </x:c>
      <x:c r="N118" s="11" t="n">
        <x:v>131770</x:v>
      </x:c>
      <x:c r="O118" s="11" t="n">
        <x:v>57205</x:v>
      </x:c>
      <x:c r="P118" s="11" t="n">
        <x:v>29</x:v>
      </x:c>
      <x:c r="Q118" s="2"/>
      <x:c r="R118" s="2"/>
      <x:c r="S118" s="2"/>
      <x:c r="T118" s="2"/>
      <x:c r="U118" s="2"/>
    </x:row>
    <x:row r="119" ht="26" customHeight="1">
      <x:c r="A119" s="2" t="str">
        <x:v>E06000060</x:v>
      </x:c>
      <x:c r="B119" s="2" t="str">
        <x:v>State-funded primary</x:v>
      </x:c>
      <x:c r="C119" s="2" t="str">
        <x:v>Buckinghamshire</x:v>
      </x:c>
      <x:c r="D119" s="11" t="n">
        <x:v>38070</x:v>
      </x:c>
      <x:c r="E119" s="11" t="n">
        <x:v>37642</x:v>
      </x:c>
      <x:c r="F119" s="11" t="n">
        <x:v>4987</x:v>
      </x:c>
      <x:c r="G119" s="11" t="n">
        <x:v>5144</x:v>
      </x:c>
      <x:c r="H119" s="11" t="n">
        <x:v>386</x:v>
      </x:c>
      <x:c r="I119" s="11" t="n">
        <x:v>397</x:v>
      </x:c>
      <x:c r="J119" s="11" t="n">
        <x:v>5295057</x:v>
      </x:c>
      <x:c r="K119" s="11" t="n">
        <x:v>5175761</x:v>
      </x:c>
      <x:c r="L119" s="11" t="n">
        <x:v>263444</x:v>
      </x:c>
      <x:c r="M119" s="11" t="n">
        <x:v>260956</x:v>
      </x:c>
      <x:c r="N119" s="11" t="n">
        <x:v>163475</x:v>
      </x:c>
      <x:c r="O119" s="11" t="n">
        <x:v>23081</x:v>
      </x:c>
      <x:c r="P119" s="11" t="n">
        <x:v>184</x:v>
      </x:c>
      <x:c r="Q119" s="2"/>
      <x:c r="R119" s="2"/>
      <x:c r="S119" s="2"/>
      <x:c r="T119" s="2"/>
      <x:c r="U119" s="2"/>
    </x:row>
    <x:row r="120" ht="26" customHeight="1">
      <x:c r="A120" s="2" t="str">
        <x:v>E06000060</x:v>
      </x:c>
      <x:c r="B120" s="2" t="str">
        <x:v>State-funded secondary</x:v>
      </x:c>
      <x:c r="C120" s="2" t="str">
        <x:v>Buckinghamshire</x:v>
      </x:c>
      <x:c r="D120" s="11" t="n">
        <x:v>34577</x:v>
      </x:c>
      <x:c r="E120" s="11" t="n">
        <x:v>34778</x:v>
      </x:c>
      <x:c r="F120" s="11" t="n">
        <x:v>6466</x:v>
      </x:c>
      <x:c r="G120" s="11" t="n">
        <x:v>6693</x:v>
      </x:c>
      <x:c r="H120" s="11" t="n">
        <x:v>885</x:v>
      </x:c>
      <x:c r="I120" s="11" t="n">
        <x:v>871</x:v>
      </x:c>
      <x:c r="J120" s="11" t="n">
        <x:v>4634056</x:v>
      </x:c>
      <x:c r="K120" s="11" t="n">
        <x:v>4584609</x:v>
      </x:c>
      <x:c r="L120" s="11" t="n">
        <x:v>326035</x:v>
      </x:c>
      <x:c r="M120" s="11" t="n">
        <x:v>324468</x:v>
      </x:c>
      <x:c r="N120" s="11" t="n">
        <x:v>206305</x:v>
      </x:c>
      <x:c r="O120" s="11" t="n">
        <x:v>51282</x:v>
      </x:c>
      <x:c r="P120" s="11" t="n">
        <x:v>37</x:v>
      </x:c>
      <x:c r="Q120" s="2"/>
      <x:c r="R120" s="2"/>
      <x:c r="S120" s="2"/>
      <x:c r="T120" s="2"/>
      <x:c r="U120" s="2"/>
    </x:row>
    <x:row r="121" ht="26" customHeight="1">
      <x:c r="A121" s="2" t="str">
        <x:v>E06000061</x:v>
      </x:c>
      <x:c r="B121" s="2" t="str">
        <x:v>State-funded primary</x:v>
      </x:c>
      <x:c r="C121" s="2" t="str">
        <x:v>North Northamptonshire</x:v>
      </x:c>
      <x:c r="D121" s="11" t="n">
        <x:v>25701</x:v>
      </x:c>
      <x:c r="E121" s="11" t="n">
        <x:v>25490</x:v>
      </x:c>
      <x:c r="F121" s="11" t="n">
        <x:v>3750</x:v>
      </x:c>
      <x:c r="G121" s="11" t="n">
        <x:v>3696</x:v>
      </x:c>
      <x:c r="H121" s="11" t="n">
        <x:v>257</x:v>
      </x:c>
      <x:c r="I121" s="11" t="n">
        <x:v>301</x:v>
      </x:c>
      <x:c r="J121" s="11" t="n">
        <x:v>3597189</x:v>
      </x:c>
      <x:c r="K121" s="11" t="n">
        <x:v>3558674</x:v>
      </x:c>
      <x:c r="L121" s="11" t="n">
        <x:v>187715</x:v>
      </x:c>
      <x:c r="M121" s="11" t="n">
        <x:v>189066</x:v>
      </x:c>
      <x:c r="N121" s="11" t="n">
        <x:v>110338</x:v>
      </x:c>
      <x:c r="O121" s="11" t="n">
        <x:v>24970</x:v>
      </x:c>
      <x:c r="P121" s="11" t="n">
        <x:v>111</x:v>
      </x:c>
      <x:c r="Q121" s="2"/>
      <x:c r="R121" s="2"/>
      <x:c r="S121" s="2"/>
      <x:c r="T121" s="2"/>
      <x:c r="U121" s="2"/>
    </x:row>
    <x:row r="122" ht="26" customHeight="1">
      <x:c r="A122" s="2" t="str">
        <x:v>E06000061</x:v>
      </x:c>
      <x:c r="B122" s="2" t="str">
        <x:v>State-funded secondary</x:v>
      </x:c>
      <x:c r="C122" s="2" t="str">
        <x:v>North Northamptonshire</x:v>
      </x:c>
      <x:c r="D122" s="11" t="n">
        <x:v>21777</x:v>
      </x:c>
      <x:c r="E122" s="11" t="n">
        <x:v>21811</x:v>
      </x:c>
      <x:c r="F122" s="11" t="n">
        <x:v>4751</x:v>
      </x:c>
      <x:c r="G122" s="11" t="n">
        <x:v>5088</x:v>
      </x:c>
      <x:c r="H122" s="11" t="n">
        <x:v>798</x:v>
      </x:c>
      <x:c r="I122" s="11" t="n">
        <x:v>817</x:v>
      </x:c>
      <x:c r="J122" s="11" t="n">
        <x:v>2996854</x:v>
      </x:c>
      <x:c r="K122" s="11" t="n">
        <x:v>3003269</x:v>
      </x:c>
      <x:c r="L122" s="11" t="n">
        <x:v>240549</x:v>
      </x:c>
      <x:c r="M122" s="11" t="n">
        <x:v>249787</x:v>
      </x:c>
      <x:c r="N122" s="11" t="n">
        <x:v>119045</x:v>
      </x:c>
      <x:c r="O122" s="11" t="n">
        <x:v>70634</x:v>
      </x:c>
      <x:c r="P122" s="11" t="n">
        <x:v>21</x:v>
      </x:c>
      <x:c r="Q122" s="2"/>
      <x:c r="R122" s="2"/>
      <x:c r="S122" s="2"/>
      <x:c r="T122" s="2"/>
      <x:c r="U122" s="2"/>
    </x:row>
    <x:row r="123" ht="26" customHeight="1">
      <x:c r="A123" s="2" t="str">
        <x:v>E06000062</x:v>
      </x:c>
      <x:c r="B123" s="2" t="str">
        <x:v>State-funded primary</x:v>
      </x:c>
      <x:c r="C123" s="2" t="str">
        <x:v>West Northamptonshire</x:v>
      </x:c>
      <x:c r="D123" s="11" t="n">
        <x:v>30079</x:v>
      </x:c>
      <x:c r="E123" s="11" t="n">
        <x:v>29526</x:v>
      </x:c>
      <x:c r="F123" s="11" t="n">
        <x:v>3991</x:v>
      </x:c>
      <x:c r="G123" s="11" t="n">
        <x:v>3750</x:v>
      </x:c>
      <x:c r="H123" s="11" t="n">
        <x:v>304</x:v>
      </x:c>
      <x:c r="I123" s="11" t="n">
        <x:v>303</x:v>
      </x:c>
      <x:c r="J123" s="11" t="n">
        <x:v>4215740</x:v>
      </x:c>
      <x:c r="K123" s="11" t="n">
        <x:v>4140680</x:v>
      </x:c>
      <x:c r="L123" s="11" t="n">
        <x:v>208451</x:v>
      </x:c>
      <x:c r="M123" s="11" t="n">
        <x:v>200407</x:v>
      </x:c>
      <x:c r="N123" s="11" t="n">
        <x:v>119146</x:v>
      </x:c>
      <x:c r="O123" s="11" t="n">
        <x:v>22805</x:v>
      </x:c>
      <x:c r="P123" s="11" t="n">
        <x:v>146</x:v>
      </x:c>
      <x:c r="Q123" s="2"/>
      <x:c r="R123" s="2"/>
      <x:c r="S123" s="2"/>
      <x:c r="T123" s="2"/>
      <x:c r="U123" s="2"/>
    </x:row>
    <x:row r="124" ht="26" customHeight="1">
      <x:c r="A124" s="2" t="str">
        <x:v>E06000062</x:v>
      </x:c>
      <x:c r="B124" s="2" t="str">
        <x:v>State-funded secondary</x:v>
      </x:c>
      <x:c r="C124" s="2" t="str">
        <x:v>West Northamptonshire</x:v>
      </x:c>
      <x:c r="D124" s="11" t="n">
        <x:v>27378</x:v>
      </x:c>
      <x:c r="E124" s="11" t="n">
        <x:v>27280</x:v>
      </x:c>
      <x:c r="F124" s="11" t="n">
        <x:v>5560</x:v>
      </x:c>
      <x:c r="G124" s="11" t="n">
        <x:v>5603</x:v>
      </x:c>
      <x:c r="H124" s="11" t="n">
        <x:v>950</x:v>
      </x:c>
      <x:c r="I124" s="11" t="n">
        <x:v>942</x:v>
      </x:c>
      <x:c r="J124" s="11" t="n">
        <x:v>3782599</x:v>
      </x:c>
      <x:c r="K124" s="11" t="n">
        <x:v>3740309</x:v>
      </x:c>
      <x:c r="L124" s="11" t="n">
        <x:v>290415</x:v>
      </x:c>
      <x:c r="M124" s="11" t="n">
        <x:v>283243</x:v>
      </x:c>
      <x:c r="N124" s="11" t="n">
        <x:v>146372</x:v>
      </x:c>
      <x:c r="O124" s="11" t="n">
        <x:v>80612</x:v>
      </x:c>
      <x:c r="P124" s="11" t="n">
        <x:v>23</x:v>
      </x:c>
      <x:c r="Q124" s="2"/>
      <x:c r="R124" s="2"/>
      <x:c r="S124" s="2"/>
      <x:c r="T124" s="2"/>
      <x:c r="U124" s="2"/>
    </x:row>
    <x:row r="125" ht="26" customHeight="1">
      <x:c r="A125" s="2" t="str">
        <x:v>E06000063</x:v>
      </x:c>
      <x:c r="B125" s="2" t="str">
        <x:v>State-funded primary</x:v>
      </x:c>
      <x:c r="C125" s="2" t="str">
        <x:v>Cumberland</x:v>
      </x:c>
      <x:c r="D125" s="11" t="n">
        <x:v>17282</x:v>
      </x:c>
      <x:c r="E125" s="11" t="n">
        <x:v>16899</x:v>
      </x:c>
      <x:c r="F125" s="11" t="n">
        <x:v>2365</x:v>
      </x:c>
      <x:c r="G125" s="11" t="n">
        <x:v>2280</x:v>
      </x:c>
      <x:c r="H125" s="11" t="n">
        <x:v>74</x:v>
      </x:c>
      <x:c r="I125" s="11" t="n">
        <x:v>92</x:v>
      </x:c>
      <x:c r="J125" s="11" t="n">
        <x:v>2489902</x:v>
      </x:c>
      <x:c r="K125" s="11" t="n">
        <x:v>2412613</x:v>
      </x:c>
      <x:c r="L125" s="11" t="n">
        <x:v>122670</x:v>
      </x:c>
      <x:c r="M125" s="11" t="n">
        <x:v>117764</x:v>
      </x:c>
      <x:c r="N125" s="11" t="n">
        <x:v>73702</x:v>
      </x:c>
      <x:c r="O125" s="11" t="n">
        <x:v>8505</x:v>
      </x:c>
      <x:c r="P125" s="11" t="n">
        <x:v>145</x:v>
      </x:c>
      <x:c r="Q125" s="2"/>
      <x:c r="R125" s="2"/>
      <x:c r="S125" s="2"/>
      <x:c r="T125" s="2"/>
      <x:c r="U125" s="2"/>
    </x:row>
    <x:row r="126" ht="26" customHeight="1">
      <x:c r="A126" s="2" t="str">
        <x:v>E06000063</x:v>
      </x:c>
      <x:c r="B126" s="2" t="str">
        <x:v>State-funded secondary</x:v>
      </x:c>
      <x:c r="C126" s="2" t="str">
        <x:v>Cumberland</x:v>
      </x:c>
      <x:c r="D126" s="11" t="n">
        <x:v>15059</x:v>
      </x:c>
      <x:c r="E126" s="11" t="n">
        <x:v>15027</x:v>
      </x:c>
      <x:c r="F126" s="11" t="n">
        <x:v>3369</x:v>
      </x:c>
      <x:c r="G126" s="11" t="n">
        <x:v>3617</x:v>
      </x:c>
      <x:c r="H126" s="11" t="n">
        <x:v>496</x:v>
      </x:c>
      <x:c r="I126" s="11" t="n">
        <x:v>504</x:v>
      </x:c>
      <x:c r="J126" s="11" t="n">
        <x:v>2139378</x:v>
      </x:c>
      <x:c r="K126" s="11" t="n">
        <x:v>2127684</x:v>
      </x:c>
      <x:c r="L126" s="11" t="n">
        <x:v>174235</x:v>
      </x:c>
      <x:c r="M126" s="11" t="n">
        <x:v>179947</x:v>
      </x:c>
      <x:c r="N126" s="11" t="n">
        <x:v>94661</x:v>
      </x:c>
      <x:c r="O126" s="11" t="n">
        <x:v>44903</x:v>
      </x:c>
      <x:c r="P126" s="11" t="n">
        <x:v>19</x:v>
      </x:c>
      <x:c r="Q126" s="2"/>
      <x:c r="R126" s="2"/>
      <x:c r="S126" s="2"/>
      <x:c r="T126" s="2"/>
      <x:c r="U126" s="2"/>
    </x:row>
    <x:row r="127" ht="26" customHeight="1">
      <x:c r="A127" s="2" t="str">
        <x:v>E06000064</x:v>
      </x:c>
      <x:c r="B127" s="2" t="str">
        <x:v>State-funded primary</x:v>
      </x:c>
      <x:c r="C127" s="2" t="str">
        <x:v>Westmorland and Furness</x:v>
      </x:c>
      <x:c r="D127" s="11" t="n">
        <x:v>12578</x:v>
      </x:c>
      <x:c r="E127" s="11" t="n">
        <x:v>12268</x:v>
      </x:c>
      <x:c r="F127" s="11" t="n">
        <x:v>1424</x:v>
      </x:c>
      <x:c r="G127" s="11" t="n">
        <x:v>1470</x:v>
      </x:c>
      <x:c r="H127" s="11" t="n">
        <x:v>40</x:v>
      </x:c>
      <x:c r="I127" s="11" t="n">
        <x:v>51</x:v>
      </x:c>
      <x:c r="J127" s="11" t="n">
        <x:v>1809120</x:v>
      </x:c>
      <x:c r="K127" s="11" t="n">
        <x:v>1761609</x:v>
      </x:c>
      <x:c r="L127" s="11" t="n">
        <x:v>79594</x:v>
      </x:c>
      <x:c r="M127" s="11" t="n">
        <x:v>80721</x:v>
      </x:c>
      <x:c r="N127" s="11" t="n">
        <x:v>50851</x:v>
      </x:c>
      <x:c r="O127" s="11" t="n">
        <x:v>4322</x:v>
      </x:c>
      <x:c r="P127" s="11" t="n">
        <x:v>121</x:v>
      </x:c>
      <x:c r="Q127" s="2"/>
      <x:c r="R127" s="2"/>
      <x:c r="S127" s="2"/>
      <x:c r="T127" s="2"/>
      <x:c r="U127" s="2"/>
    </x:row>
    <x:row r="128" ht="26" customHeight="1">
      <x:c r="A128" s="2" t="str">
        <x:v>E06000064</x:v>
      </x:c>
      <x:c r="B128" s="2" t="str">
        <x:v>State-funded secondary</x:v>
      </x:c>
      <x:c r="C128" s="2" t="str">
        <x:v>Westmorland and Furness</x:v>
      </x:c>
      <x:c r="D128" s="11" t="n">
        <x:v>12577</x:v>
      </x:c>
      <x:c r="E128" s="11" t="n">
        <x:v>12337</x:v>
      </x:c>
      <x:c r="F128" s="11" t="n">
        <x:v>2601</x:v>
      </x:c>
      <x:c r="G128" s="11" t="n">
        <x:v>2824</x:v>
      </x:c>
      <x:c r="H128" s="11" t="n">
        <x:v>343</x:v>
      </x:c>
      <x:c r="I128" s="11" t="n">
        <x:v>368</x:v>
      </x:c>
      <x:c r="J128" s="11" t="n">
        <x:v>1787036</x:v>
      </x:c>
      <x:c r="K128" s="11" t="n">
        <x:v>1745613</x:v>
      </x:c>
      <x:c r="L128" s="11" t="n">
        <x:v>134983</x:v>
      </x:c>
      <x:c r="M128" s="11" t="n">
        <x:v>142510</x:v>
      </x:c>
      <x:c r="N128" s="11" t="n">
        <x:v>84804</x:v>
      </x:c>
      <x:c r="O128" s="11" t="n">
        <x:v>24079</x:v>
      </x:c>
      <x:c r="P128" s="11" t="n">
        <x:v>20</x:v>
      </x:c>
      <x:c r="Q128" s="2"/>
      <x:c r="R128" s="2"/>
      <x:c r="S128" s="2"/>
      <x:c r="T128" s="2"/>
      <x:c r="U128" s="2"/>
    </x:row>
    <x:row r="129" ht="26" customHeight="1">
      <x:c r="A129" s="2" t="str">
        <x:v>E06000065</x:v>
      </x:c>
      <x:c r="B129" s="2" t="str">
        <x:v>State-funded primary</x:v>
      </x:c>
      <x:c r="C129" s="2" t="str">
        <x:v>North Yorkshire</x:v>
      </x:c>
      <x:c r="D129" s="11" t="n">
        <x:v>36150</x:v>
      </x:c>
      <x:c r="E129" s="11" t="n">
        <x:v>35527</x:v>
      </x:c>
      <x:c r="F129" s="11" t="n">
        <x:v>4477</x:v>
      </x:c>
      <x:c r="G129" s="11" t="n">
        <x:v>4669</x:v>
      </x:c>
      <x:c r="H129" s="11" t="n">
        <x:v>265</x:v>
      </x:c>
      <x:c r="I129" s="11" t="n">
        <x:v>351</x:v>
      </x:c>
      <x:c r="J129" s="11" t="n">
        <x:v>5198038</x:v>
      </x:c>
      <x:c r="K129" s="11" t="n">
        <x:v>5057103</x:v>
      </x:c>
      <x:c r="L129" s="11" t="n">
        <x:v>242839</x:v>
      </x:c>
      <x:c r="M129" s="11" t="n">
        <x:v>251982</x:v>
      </x:c>
      <x:c r="N129" s="11" t="n">
        <x:v>145562</x:v>
      </x:c>
      <x:c r="O129" s="11" t="n">
        <x:v>21232</x:v>
      </x:c>
      <x:c r="P129" s="11" t="n">
        <x:v>291</x:v>
      </x:c>
      <x:c r="Q129" s="2"/>
      <x:c r="R129" s="2"/>
      <x:c r="S129" s="2"/>
      <x:c r="T129" s="2"/>
      <x:c r="U129" s="2"/>
    </x:row>
    <x:row r="130" ht="26" customHeight="1">
      <x:c r="A130" s="2" t="str">
        <x:v>E06000065</x:v>
      </x:c>
      <x:c r="B130" s="2" t="str">
        <x:v>State-funded secondary</x:v>
      </x:c>
      <x:c r="C130" s="2" t="str">
        <x:v>North Yorkshire</x:v>
      </x:c>
      <x:c r="D130" s="11" t="n">
        <x:v>32602</x:v>
      </x:c>
      <x:c r="E130" s="11" t="n">
        <x:v>32058</x:v>
      </x:c>
      <x:c r="F130" s="11" t="n">
        <x:v>7117</x:v>
      </x:c>
      <x:c r="G130" s="11" t="n">
        <x:v>7151</x:v>
      </x:c>
      <x:c r="H130" s="11" t="n">
        <x:v>1184</x:v>
      </x:c>
      <x:c r="I130" s="11" t="n">
        <x:v>1114</x:v>
      </x:c>
      <x:c r="J130" s="11" t="n">
        <x:v>4606522</x:v>
      </x:c>
      <x:c r="K130" s="11" t="n">
        <x:v>4509806</x:v>
      </x:c>
      <x:c r="L130" s="11" t="n">
        <x:v>371263</x:v>
      </x:c>
      <x:c r="M130" s="11" t="n">
        <x:v>370247</x:v>
      </x:c>
      <x:c r="N130" s="11" t="n">
        <x:v>196522</x:v>
      </x:c>
      <x:c r="O130" s="11" t="n">
        <x:v>79730</x:v>
      </x:c>
      <x:c r="P130" s="11" t="n">
        <x:v>41</x:v>
      </x:c>
      <x:c r="Q130" s="2"/>
      <x:c r="R130" s="2"/>
      <x:c r="S130" s="2"/>
      <x:c r="T130" s="2"/>
      <x:c r="U130" s="2"/>
    </x:row>
    <x:row r="131" ht="26" customHeight="1">
      <x:c r="A131" s="2" t="str">
        <x:v>E06000066</x:v>
      </x:c>
      <x:c r="B131" s="2" t="str">
        <x:v>State-funded primary</x:v>
      </x:c>
      <x:c r="C131" s="2" t="str">
        <x:v>Somerset</x:v>
      </x:c>
      <x:c r="D131" s="11" t="n">
        <x:v>32934</x:v>
      </x:c>
      <x:c r="E131" s="11" t="n">
        <x:v>32224</x:v>
      </x:c>
      <x:c r="F131" s="11" t="n">
        <x:v>4835</x:v>
      </x:c>
      <x:c r="G131" s="11" t="n">
        <x:v>4405</x:v>
      </x:c>
      <x:c r="H131" s="11" t="n">
        <x:v>320</x:v>
      </x:c>
      <x:c r="I131" s="11" t="n">
        <x:v>337</x:v>
      </x:c>
      <x:c r="J131" s="11" t="n">
        <x:v>4623122</x:v>
      </x:c>
      <x:c r="K131" s="11" t="n">
        <x:v>4502409</x:v>
      </x:c>
      <x:c r="L131" s="11" t="n">
        <x:v>247061</x:v>
      </x:c>
      <x:c r="M131" s="11" t="n">
        <x:v>232441</x:v>
      </x:c>
      <x:c r="N131" s="11" t="n">
        <x:v>136895</x:v>
      </x:c>
      <x:c r="O131" s="11" t="n">
        <x:v>23637</x:v>
      </x:c>
      <x:c r="P131" s="11" t="n">
        <x:v>218</x:v>
      </x:c>
      <x:c r="Q131" s="2"/>
      <x:c r="R131" s="2"/>
      <x:c r="S131" s="2"/>
      <x:c r="T131" s="2"/>
      <x:c r="U131" s="2"/>
    </x:row>
    <x:row r="132" ht="26" customHeight="1">
      <x:c r="A132" s="2" t="str">
        <x:v>E06000066</x:v>
      </x:c>
      <x:c r="B132" s="2" t="str">
        <x:v>State-funded secondary</x:v>
      </x:c>
      <x:c r="C132" s="2" t="str">
        <x:v>Somerset</x:v>
      </x:c>
      <x:c r="D132" s="11" t="n">
        <x:v>29339</x:v>
      </x:c>
      <x:c r="E132" s="11" t="n">
        <x:v>29204</x:v>
      </x:c>
      <x:c r="F132" s="11" t="n">
        <x:v>6889</x:v>
      </x:c>
      <x:c r="G132" s="11" t="n">
        <x:v>7085</x:v>
      </x:c>
      <x:c r="H132" s="11" t="n">
        <x:v>1117</x:v>
      </x:c>
      <x:c r="I132" s="11" t="n">
        <x:v>1207</x:v>
      </x:c>
      <x:c r="J132" s="11" t="n">
        <x:v>4033586</x:v>
      </x:c>
      <x:c r="K132" s="11" t="n">
        <x:v>4020530</x:v>
      </x:c>
      <x:c r="L132" s="11" t="n">
        <x:v>349470</x:v>
      </x:c>
      <x:c r="M132" s="11" t="n">
        <x:v>362248</x:v>
      </x:c>
      <x:c r="N132" s="11" t="n">
        <x:v>187612</x:v>
      </x:c>
      <x:c r="O132" s="11" t="n">
        <x:v>92775</x:v>
      </x:c>
      <x:c r="P132" s="11" t="n">
        <x:v>35</x:v>
      </x:c>
      <x:c r="Q132" s="2"/>
      <x:c r="R132" s="2"/>
      <x:c r="S132" s="2"/>
      <x:c r="T132" s="2"/>
      <x:c r="U132" s="2"/>
    </x:row>
    <x:row r="133" ht="26" customHeight="1">
      <x:c r="A133" s="2" t="str">
        <x:v>E08000001</x:v>
      </x:c>
      <x:c r="B133" s="2" t="str">
        <x:v>State-funded primary</x:v>
      </x:c>
      <x:c r="C133" s="2" t="str">
        <x:v>Bolton</x:v>
      </x:c>
      <x:c r="D133" s="11" t="n">
        <x:v>24583</x:v>
      </x:c>
      <x:c r="E133" s="11" t="n">
        <x:v>24460</x:v>
      </x:c>
      <x:c r="F133" s="11" t="n">
        <x:v>3437</x:v>
      </x:c>
      <x:c r="G133" s="11" t="n">
        <x:v>3778</x:v>
      </x:c>
      <x:c r="H133" s="11" t="n">
        <x:v>177</x:v>
      </x:c>
      <x:c r="I133" s="11" t="n">
        <x:v>218</x:v>
      </x:c>
      <x:c r="J133" s="11" t="n">
        <x:v>3506492</x:v>
      </x:c>
      <x:c r="K133" s="11" t="n">
        <x:v>3485758</x:v>
      </x:c>
      <x:c r="L133" s="11" t="n">
        <x:v>170836</x:v>
      </x:c>
      <x:c r="M133" s="11" t="n">
        <x:v>183000</x:v>
      </x:c>
      <x:c r="N133" s="11" t="n">
        <x:v>107356</x:v>
      </x:c>
      <x:c r="O133" s="11" t="n">
        <x:v>19152</x:v>
      </x:c>
      <x:c r="P133" s="11" t="n">
        <x:v>97</x:v>
      </x:c>
      <x:c r="Q133" s="2"/>
      <x:c r="R133" s="2"/>
      <x:c r="S133" s="2"/>
      <x:c r="T133" s="2"/>
      <x:c r="U133" s="2"/>
    </x:row>
    <x:row r="134" ht="26" customHeight="1">
      <x:c r="A134" s="2" t="str">
        <x:v>E08000001</x:v>
      </x:c>
      <x:c r="B134" s="2" t="str">
        <x:v>State-funded secondary</x:v>
      </x:c>
      <x:c r="C134" s="2" t="str">
        <x:v>Bolton</x:v>
      </x:c>
      <x:c r="D134" s="11" t="n">
        <x:v>21699</x:v>
      </x:c>
      <x:c r="E134" s="11" t="n">
        <x:v>21833</x:v>
      </x:c>
      <x:c r="F134" s="11" t="n">
        <x:v>4258</x:v>
      </x:c>
      <x:c r="G134" s="11" t="n">
        <x:v>4822</x:v>
      </x:c>
      <x:c r="H134" s="11" t="n">
        <x:v>542</x:v>
      </x:c>
      <x:c r="I134" s="11" t="n">
        <x:v>698</x:v>
      </x:c>
      <x:c r="J134" s="11" t="n">
        <x:v>3035887</x:v>
      </x:c>
      <x:c r="K134" s="11" t="n">
        <x:v>3039495</x:v>
      </x:c>
      <x:c r="L134" s="11" t="n">
        <x:v>216590</x:v>
      </x:c>
      <x:c r="M134" s="11" t="n">
        <x:v>235612</x:v>
      </x:c>
      <x:c r="N134" s="11" t="n">
        <x:v>113353</x:v>
      </x:c>
      <x:c r="O134" s="11" t="n">
        <x:v>60370</x:v>
      </x:c>
      <x:c r="P134" s="11" t="n">
        <x:v>20</x:v>
      </x:c>
      <x:c r="Q134" s="2"/>
      <x:c r="R134" s="2"/>
      <x:c r="S134" s="2"/>
      <x:c r="T134" s="2"/>
      <x:c r="U134" s="2"/>
    </x:row>
    <x:row r="135" ht="26" customHeight="1">
      <x:c r="A135" s="2" t="str">
        <x:v>E08000002</x:v>
      </x:c>
      <x:c r="B135" s="2" t="str">
        <x:v>State-funded primary</x:v>
      </x:c>
      <x:c r="C135" s="2" t="str">
        <x:v>Bury</x:v>
      </x:c>
      <x:c r="D135" s="11" t="n">
        <x:v>13812</x:v>
      </x:c>
      <x:c r="E135" s="11" t="n">
        <x:v>13516</x:v>
      </x:c>
      <x:c r="F135" s="11" t="n">
        <x:v>1732</x:v>
      </x:c>
      <x:c r="G135" s="11" t="n">
        <x:v>1980</x:v>
      </x:c>
      <x:c r="H135" s="11" t="n">
        <x:v>124</x:v>
      </x:c>
      <x:c r="I135" s="11" t="n">
        <x:v>143</x:v>
      </x:c>
      <x:c r="J135" s="11" t="n">
        <x:v>1949834</x:v>
      </x:c>
      <x:c r="K135" s="11" t="n">
        <x:v>1912575</x:v>
      </x:c>
      <x:c r="L135" s="11" t="n">
        <x:v>94126</x:v>
      </x:c>
      <x:c r="M135" s="11" t="n">
        <x:v>100975</x:v>
      </x:c>
      <x:c r="N135" s="11" t="n">
        <x:v>57706</x:v>
      </x:c>
      <x:c r="O135" s="11" t="n">
        <x:v>9707</x:v>
      </x:c>
      <x:c r="P135" s="11" t="n">
        <x:v>64</x:v>
      </x:c>
      <x:c r="Q135" s="2"/>
      <x:c r="R135" s="2"/>
      <x:c r="S135" s="2"/>
      <x:c r="T135" s="2"/>
      <x:c r="U135" s="2"/>
    </x:row>
    <x:row r="136" ht="26" customHeight="1">
      <x:c r="A136" s="2" t="str">
        <x:v>E08000002</x:v>
      </x:c>
      <x:c r="B136" s="2" t="str">
        <x:v>State-funded secondary</x:v>
      </x:c>
      <x:c r="C136" s="2" t="str">
        <x:v>Bury</x:v>
      </x:c>
      <x:c r="D136" s="11" t="n">
        <x:v>11659</x:v>
      </x:c>
      <x:c r="E136" s="11" t="n">
        <x:v>11552</x:v>
      </x:c>
      <x:c r="F136" s="11" t="n">
        <x:v>2481</x:v>
      </x:c>
      <x:c r="G136" s="11" t="n">
        <x:v>2733</x:v>
      </x:c>
      <x:c r="H136" s="11" t="n">
        <x:v>375</x:v>
      </x:c>
      <x:c r="I136" s="11" t="n">
        <x:v>375</x:v>
      </x:c>
      <x:c r="J136" s="11" t="n">
        <x:v>1631814</x:v>
      </x:c>
      <x:c r="K136" s="11" t="n">
        <x:v>1611695</x:v>
      </x:c>
      <x:c r="L136" s="11" t="n">
        <x:v>127570</x:v>
      </x:c>
      <x:c r="M136" s="11" t="n">
        <x:v>134295</x:v>
      </x:c>
      <x:c r="N136" s="11" t="n">
        <x:v>64388</x:v>
      </x:c>
      <x:c r="O136" s="11" t="n">
        <x:v>37120</x:v>
      </x:c>
      <x:c r="P136" s="11" t="n">
        <x:v>14</x:v>
      </x:c>
      <x:c r="Q136" s="2"/>
      <x:c r="R136" s="2"/>
      <x:c r="S136" s="2"/>
      <x:c r="T136" s="2"/>
      <x:c r="U136" s="2"/>
    </x:row>
    <x:row r="137" ht="26" customHeight="1">
      <x:c r="A137" s="2" t="str">
        <x:v>E08000003</x:v>
      </x:c>
      <x:c r="B137" s="2" t="str">
        <x:v>State-funded primary</x:v>
      </x:c>
      <x:c r="C137" s="2" t="str">
        <x:v>Manchester</x:v>
      </x:c>
      <x:c r="D137" s="11" t="n">
        <x:v>43121</x:v>
      </x:c>
      <x:c r="E137" s="11" t="n">
        <x:v>41848</x:v>
      </x:c>
      <x:c r="F137" s="11" t="n">
        <x:v>6385</x:v>
      </x:c>
      <x:c r="G137" s="11" t="n">
        <x:v>7014</x:v>
      </x:c>
      <x:c r="H137" s="11" t="n">
        <x:v>495</x:v>
      </x:c>
      <x:c r="I137" s="11" t="n">
        <x:v>507</x:v>
      </x:c>
      <x:c r="J137" s="11" t="n">
        <x:v>6025191</x:v>
      </x:c>
      <x:c r="K137" s="11" t="n">
        <x:v>5850912</x:v>
      </x:c>
      <x:c r="L137" s="11" t="n">
        <x:v>311385</x:v>
      </x:c>
      <x:c r="M137" s="11" t="n">
        <x:v>325062</x:v>
      </x:c>
      <x:c r="N137" s="11" t="n">
        <x:v>168530</x:v>
      </x:c>
      <x:c r="O137" s="11" t="n">
        <x:v>56161</x:v>
      </x:c>
      <x:c r="P137" s="11" t="n">
        <x:v>137</x:v>
      </x:c>
      <x:c r="Q137" s="2"/>
      <x:c r="R137" s="2"/>
      <x:c r="S137" s="2"/>
      <x:c r="T137" s="2"/>
      <x:c r="U137" s="2"/>
    </x:row>
    <x:row r="138" ht="26" customHeight="1">
      <x:c r="A138" s="2" t="str">
        <x:v>E08000003</x:v>
      </x:c>
      <x:c r="B138" s="2" t="str">
        <x:v>State-funded secondary</x:v>
      </x:c>
      <x:c r="C138" s="2" t="str">
        <x:v>Manchester</x:v>
      </x:c>
      <x:c r="D138" s="11" t="n">
        <x:v>36064</x:v>
      </x:c>
      <x:c r="E138" s="11" t="n">
        <x:v>36095</x:v>
      </x:c>
      <x:c r="F138" s="11" t="n">
        <x:v>6827</x:v>
      </x:c>
      <x:c r="G138" s="11" t="n">
        <x:v>7191</x:v>
      </x:c>
      <x:c r="H138" s="11" t="n">
        <x:v>1176</x:v>
      </x:c>
      <x:c r="I138" s="11" t="n">
        <x:v>1078</x:v>
      </x:c>
      <x:c r="J138" s="11" t="n">
        <x:v>4857918</x:v>
      </x:c>
      <x:c r="K138" s="11" t="n">
        <x:v>4859234</x:v>
      </x:c>
      <x:c r="L138" s="11" t="n">
        <x:v>344896</x:v>
      </x:c>
      <x:c r="M138" s="11" t="n">
        <x:v>347809</x:v>
      </x:c>
      <x:c r="N138" s="11" t="n">
        <x:v>135117</x:v>
      </x:c>
      <x:c r="O138" s="11" t="n">
        <x:v>126573</x:v>
      </x:c>
      <x:c r="P138" s="11" t="n">
        <x:v>32</x:v>
      </x:c>
      <x:c r="Q138" s="2"/>
      <x:c r="R138" s="2"/>
      <x:c r="S138" s="2"/>
      <x:c r="T138" s="2"/>
      <x:c r="U138" s="2"/>
    </x:row>
    <x:row r="139" ht="26" customHeight="1">
      <x:c r="A139" s="2" t="str">
        <x:v>E08000004</x:v>
      </x:c>
      <x:c r="B139" s="2" t="str">
        <x:v>State-funded primary</x:v>
      </x:c>
      <x:c r="C139" s="2" t="str">
        <x:v>Oldham</x:v>
      </x:c>
      <x:c r="D139" s="11" t="n">
        <x:v>20971</x:v>
      </x:c>
      <x:c r="E139" s="11" t="n">
        <x:v>20604</x:v>
      </x:c>
      <x:c r="F139" s="11" t="n">
        <x:v>3186</x:v>
      </x:c>
      <x:c r="G139" s="11" t="n">
        <x:v>3282</x:v>
      </x:c>
      <x:c r="H139" s="11" t="n">
        <x:v>147</x:v>
      </x:c>
      <x:c r="I139" s="11" t="n">
        <x:v>152</x:v>
      </x:c>
      <x:c r="J139" s="11" t="n">
        <x:v>2977647</x:v>
      </x:c>
      <x:c r="K139" s="11" t="n">
        <x:v>2914912</x:v>
      </x:c>
      <x:c r="L139" s="11" t="n">
        <x:v>152657</x:v>
      </x:c>
      <x:c r="M139" s="11" t="n">
        <x:v>154576</x:v>
      </x:c>
      <x:c r="N139" s="11" t="n">
        <x:v>83811</x:v>
      </x:c>
      <x:c r="O139" s="11" t="n">
        <x:v>21970</x:v>
      </x:c>
      <x:c r="P139" s="11" t="n">
        <x:v>86</x:v>
      </x:c>
      <x:c r="Q139" s="2"/>
      <x:c r="R139" s="2"/>
      <x:c r="S139" s="2"/>
      <x:c r="T139" s="2"/>
      <x:c r="U139" s="2"/>
    </x:row>
    <x:row r="140" ht="26" customHeight="1">
      <x:c r="A140" s="2" t="str">
        <x:v>E08000004</x:v>
      </x:c>
      <x:c r="B140" s="2" t="str">
        <x:v>State-funded secondary</x:v>
      </x:c>
      <x:c r="C140" s="2" t="str">
        <x:v>Oldham</x:v>
      </x:c>
      <x:c r="D140" s="11" t="n">
        <x:v>17975</x:v>
      </x:c>
      <x:c r="E140" s="11" t="n">
        <x:v>17991</x:v>
      </x:c>
      <x:c r="F140" s="11" t="n">
        <x:v>3630</x:v>
      </x:c>
      <x:c r="G140" s="11" t="n">
        <x:v>3826</x:v>
      </x:c>
      <x:c r="H140" s="11" t="n">
        <x:v>425</x:v>
      </x:c>
      <x:c r="I140" s="11" t="n">
        <x:v>484</x:v>
      </x:c>
      <x:c r="J140" s="11" t="n">
        <x:v>2514990</x:v>
      </x:c>
      <x:c r="K140" s="11" t="n">
        <x:v>2505037</x:v>
      </x:c>
      <x:c r="L140" s="11" t="n">
        <x:v>177889</x:v>
      </x:c>
      <x:c r="M140" s="11" t="n">
        <x:v>187636</x:v>
      </x:c>
      <x:c r="N140" s="11" t="n">
        <x:v>76674</x:v>
      </x:c>
      <x:c r="O140" s="11" t="n">
        <x:v>67057</x:v>
      </x:c>
      <x:c r="P140" s="11" t="n">
        <x:v>14</x:v>
      </x:c>
      <x:c r="Q140" s="2"/>
      <x:c r="R140" s="2"/>
      <x:c r="S140" s="2"/>
      <x:c r="T140" s="2"/>
      <x:c r="U140" s="2"/>
    </x:row>
    <x:row r="141" ht="26" customHeight="1">
      <x:c r="A141" s="2" t="str">
        <x:v>E08000005</x:v>
      </x:c>
      <x:c r="B141" s="2" t="str">
        <x:v>State-funded primary</x:v>
      </x:c>
      <x:c r="C141" s="2" t="str">
        <x:v>Rochdale</x:v>
      </x:c>
      <x:c r="D141" s="11" t="n">
        <x:v>18935</x:v>
      </x:c>
      <x:c r="E141" s="11" t="n">
        <x:v>18238</x:v>
      </x:c>
      <x:c r="F141" s="11" t="n">
        <x:v>2746</x:v>
      </x:c>
      <x:c r="G141" s="11" t="n">
        <x:v>2926</x:v>
      </x:c>
      <x:c r="H141" s="11" t="n">
        <x:v>160</x:v>
      </x:c>
      <x:c r="I141" s="11" t="n">
        <x:v>207</x:v>
      </x:c>
      <x:c r="J141" s="11" t="n">
        <x:v>2678509</x:v>
      </x:c>
      <x:c r="K141" s="11" t="n">
        <x:v>2575272</x:v>
      </x:c>
      <x:c r="L141" s="11" t="n">
        <x:v>134937</x:v>
      </x:c>
      <x:c r="M141" s="11" t="n">
        <x:v>139257</x:v>
      </x:c>
      <x:c r="N141" s="11" t="n">
        <x:v>72056</x:v>
      </x:c>
      <x:c r="O141" s="11" t="n">
        <x:v>24266</x:v>
      </x:c>
      <x:c r="P141" s="11" t="n">
        <x:v>68</x:v>
      </x:c>
      <x:c r="Q141" s="2"/>
      <x:c r="R141" s="2"/>
      <x:c r="S141" s="2"/>
      <x:c r="T141" s="2"/>
      <x:c r="U141" s="2"/>
    </x:row>
    <x:row r="142" ht="26" customHeight="1">
      <x:c r="A142" s="2" t="str">
        <x:v>E08000005</x:v>
      </x:c>
      <x:c r="B142" s="2" t="str">
        <x:v>State-funded secondary</x:v>
      </x:c>
      <x:c r="C142" s="2" t="str">
        <x:v>Rochdale</x:v>
      </x:c>
      <x:c r="D142" s="11" t="n">
        <x:v>14832</x:v>
      </x:c>
      <x:c r="E142" s="11" t="n">
        <x:v>14784</x:v>
      </x:c>
      <x:c r="F142" s="11" t="n">
        <x:v>3504</x:v>
      </x:c>
      <x:c r="G142" s="11" t="n">
        <x:v>3474</x:v>
      </x:c>
      <x:c r="H142" s="11" t="n">
        <x:v>492</x:v>
      </x:c>
      <x:c r="I142" s="11" t="n">
        <x:v>511</x:v>
      </x:c>
      <x:c r="J142" s="11" t="n">
        <x:v>2036007</x:v>
      </x:c>
      <x:c r="K142" s="11" t="n">
        <x:v>2056870</x:v>
      </x:c>
      <x:c r="L142" s="11" t="n">
        <x:v>165015</x:v>
      </x:c>
      <x:c r="M142" s="11" t="n">
        <x:v>168602</x:v>
      </x:c>
      <x:c r="N142" s="11" t="n">
        <x:v>64692</x:v>
      </x:c>
      <x:c r="O142" s="11" t="n">
        <x:v>58450</x:v>
      </x:c>
      <x:c r="P142" s="11" t="n">
        <x:v>13</x:v>
      </x:c>
      <x:c r="Q142" s="2"/>
      <x:c r="R142" s="2"/>
      <x:c r="S142" s="2"/>
      <x:c r="T142" s="2"/>
      <x:c r="U142" s="2"/>
    </x:row>
    <x:row r="143" ht="26" customHeight="1">
      <x:c r="A143" s="2" t="str">
        <x:v>E08000006</x:v>
      </x:c>
      <x:c r="B143" s="2" t="str">
        <x:v>State-funded primary</x:v>
      </x:c>
      <x:c r="C143" s="2" t="str">
        <x:v>Salford</x:v>
      </x:c>
      <x:c r="D143" s="11" t="n">
        <x:v>19313</x:v>
      </x:c>
      <x:c r="E143" s="11" t="n">
        <x:v>19067</x:v>
      </x:c>
      <x:c r="F143" s="11" t="n">
        <x:v>3108</x:v>
      </x:c>
      <x:c r="G143" s="11" t="n">
        <x:v>3335</x:v>
      </x:c>
      <x:c r="H143" s="11" t="n">
        <x:v>212</x:v>
      </x:c>
      <x:c r="I143" s="11" t="n">
        <x:v>279</x:v>
      </x:c>
      <x:c r="J143" s="11" t="n">
        <x:v>2676284</x:v>
      </x:c>
      <x:c r="K143" s="11" t="n">
        <x:v>2641733</x:v>
      </x:c>
      <x:c r="L143" s="11" t="n">
        <x:v>142899</x:v>
      </x:c>
      <x:c r="M143" s="11" t="n">
        <x:v>151295</x:v>
      </x:c>
      <x:c r="N143" s="11" t="n">
        <x:v>76528</x:v>
      </x:c>
      <x:c r="O143" s="11" t="n">
        <x:v>28556</x:v>
      </x:c>
      <x:c r="P143" s="11" t="n">
        <x:v>76</x:v>
      </x:c>
      <x:c r="Q143" s="2"/>
      <x:c r="R143" s="2"/>
      <x:c r="S143" s="2"/>
      <x:c r="T143" s="2"/>
      <x:c r="U143" s="2"/>
    </x:row>
    <x:row r="144" ht="26" customHeight="1">
      <x:c r="A144" s="2" t="str">
        <x:v>E08000006</x:v>
      </x:c>
      <x:c r="B144" s="2" t="str">
        <x:v>State-funded secondary</x:v>
      </x:c>
      <x:c r="C144" s="2" t="str">
        <x:v>Salford</x:v>
      </x:c>
      <x:c r="D144" s="11" t="n">
        <x:v>13837</x:v>
      </x:c>
      <x:c r="E144" s="11" t="n">
        <x:v>13806</x:v>
      </x:c>
      <x:c r="F144" s="11" t="n">
        <x:v>3310</x:v>
      </x:c>
      <x:c r="G144" s="11" t="n">
        <x:v>3470</x:v>
      </x:c>
      <x:c r="H144" s="11" t="n">
        <x:v>579</x:v>
      </x:c>
      <x:c r="I144" s="11" t="n">
        <x:v>602</x:v>
      </x:c>
      <x:c r="J144" s="11" t="n">
        <x:v>1888868</x:v>
      </x:c>
      <x:c r="K144" s="11" t="n">
        <x:v>1887310</x:v>
      </x:c>
      <x:c r="L144" s="11" t="n">
        <x:v>159459</x:v>
      </x:c>
      <x:c r="M144" s="11" t="n">
        <x:v>167112</x:v>
      </x:c>
      <x:c r="N144" s="11" t="n">
        <x:v>57927</x:v>
      </x:c>
      <x:c r="O144" s="11" t="n">
        <x:v>65460</x:v>
      </x:c>
      <x:c r="P144" s="11" t="n">
        <x:v>16</x:v>
      </x:c>
      <x:c r="Q144" s="2"/>
      <x:c r="R144" s="2"/>
      <x:c r="S144" s="2"/>
      <x:c r="T144" s="2"/>
      <x:c r="U144" s="2"/>
    </x:row>
    <x:row r="145" ht="26" customHeight="1">
      <x:c r="A145" s="2" t="str">
        <x:v>E08000007</x:v>
      </x:c>
      <x:c r="B145" s="2" t="str">
        <x:v>State-funded primary</x:v>
      </x:c>
      <x:c r="C145" s="2" t="str">
        <x:v>Stockport</x:v>
      </x:c>
      <x:c r="D145" s="11" t="n">
        <x:v>21161</x:v>
      </x:c>
      <x:c r="E145" s="11" t="n">
        <x:v>20748</x:v>
      </x:c>
      <x:c r="F145" s="11" t="n">
        <x:v>2456</x:v>
      </x:c>
      <x:c r="G145" s="11" t="n">
        <x:v>2693</x:v>
      </x:c>
      <x:c r="H145" s="11" t="n">
        <x:v>97</x:v>
      </x:c>
      <x:c r="I145" s="11" t="n">
        <x:v>166</x:v>
      </x:c>
      <x:c r="J145" s="11" t="n">
        <x:v>3000540</x:v>
      </x:c>
      <x:c r="K145" s="11" t="n">
        <x:v>2958396</x:v>
      </x:c>
      <x:c r="L145" s="11" t="n">
        <x:v>131748</x:v>
      </x:c>
      <x:c r="M145" s="11" t="n">
        <x:v>143027</x:v>
      </x:c>
      <x:c r="N145" s="11" t="n">
        <x:v>88330</x:v>
      </x:c>
      <x:c r="O145" s="11" t="n">
        <x:v>15924</x:v>
      </x:c>
      <x:c r="P145" s="11" t="n">
        <x:v>86</x:v>
      </x:c>
      <x:c r="Q145" s="2"/>
      <x:c r="R145" s="2"/>
      <x:c r="S145" s="2"/>
      <x:c r="T145" s="2"/>
      <x:c r="U145" s="2"/>
    </x:row>
    <x:row r="146" ht="26" customHeight="1">
      <x:c r="A146" s="2" t="str">
        <x:v>E08000007</x:v>
      </x:c>
      <x:c r="B146" s="2" t="str">
        <x:v>State-funded secondary</x:v>
      </x:c>
      <x:c r="C146" s="2" t="str">
        <x:v>Stockport</x:v>
      </x:c>
      <x:c r="D146" s="11" t="n">
        <x:v>16116</x:v>
      </x:c>
      <x:c r="E146" s="11" t="n">
        <x:v>16081</x:v>
      </x:c>
      <x:c r="F146" s="11" t="n">
        <x:v>3319</x:v>
      </x:c>
      <x:c r="G146" s="11" t="n">
        <x:v>3358</x:v>
      </x:c>
      <x:c r="H146" s="11" t="n">
        <x:v>612</x:v>
      </x:c>
      <x:c r="I146" s="11" t="n">
        <x:v>582</x:v>
      </x:c>
      <x:c r="J146" s="11" t="n">
        <x:v>2240256</x:v>
      </x:c>
      <x:c r="K146" s="11" t="n">
        <x:v>2232029</x:v>
      </x:c>
      <x:c r="L146" s="11" t="n">
        <x:v>177298</x:v>
      </x:c>
      <x:c r="M146" s="11" t="n">
        <x:v>174020</x:v>
      </x:c>
      <x:c r="N146" s="11" t="n">
        <x:v>90097</x:v>
      </x:c>
      <x:c r="O146" s="11" t="n">
        <x:v>45191</x:v>
      </x:c>
      <x:c r="P146" s="11" t="n">
        <x:v>14</x:v>
      </x:c>
      <x:c r="Q146" s="2"/>
      <x:c r="R146" s="2"/>
      <x:c r="S146" s="2"/>
      <x:c r="T146" s="2"/>
      <x:c r="U146" s="2"/>
    </x:row>
    <x:row r="147" ht="26" customHeight="1">
      <x:c r="A147" s="2" t="str">
        <x:v>E08000008</x:v>
      </x:c>
      <x:c r="B147" s="2" t="str">
        <x:v>State-funded primary</x:v>
      </x:c>
      <x:c r="C147" s="2" t="str">
        <x:v>Tameside</x:v>
      </x:c>
      <x:c r="D147" s="11" t="n">
        <x:v>17478</x:v>
      </x:c>
      <x:c r="E147" s="11" t="n">
        <x:v>17104</x:v>
      </x:c>
      <x:c r="F147" s="11" t="n">
        <x:v>2291</x:v>
      </x:c>
      <x:c r="G147" s="11" t="n">
        <x:v>2536</x:v>
      </x:c>
      <x:c r="H147" s="11" t="n">
        <x:v>101</x:v>
      </x:c>
      <x:c r="I147" s="11" t="n">
        <x:v>143</x:v>
      </x:c>
      <x:c r="J147" s="11" t="n">
        <x:v>2503027</x:v>
      </x:c>
      <x:c r="K147" s="11" t="n">
        <x:v>2430685</x:v>
      </x:c>
      <x:c r="L147" s="11" t="n">
        <x:v>117450</x:v>
      </x:c>
      <x:c r="M147" s="11" t="n">
        <x:v>122807</x:v>
      </x:c>
      <x:c r="N147" s="11" t="n">
        <x:v>66482</x:v>
      </x:c>
      <x:c r="O147" s="11" t="n">
        <x:v>19661</x:v>
      </x:c>
      <x:c r="P147" s="11" t="n">
        <x:v>76</x:v>
      </x:c>
      <x:c r="Q147" s="2"/>
      <x:c r="R147" s="2"/>
      <x:c r="S147" s="2"/>
      <x:c r="T147" s="2"/>
      <x:c r="U147" s="2"/>
    </x:row>
    <x:row r="148" ht="26" customHeight="1">
      <x:c r="A148" s="2" t="str">
        <x:v>E08000008</x:v>
      </x:c>
      <x:c r="B148" s="2" t="str">
        <x:v>State-funded secondary</x:v>
      </x:c>
      <x:c r="C148" s="2" t="str">
        <x:v>Tameside</x:v>
      </x:c>
      <x:c r="D148" s="11" t="n">
        <x:v>13929</x:v>
      </x:c>
      <x:c r="E148" s="11" t="n">
        <x:v>15070</x:v>
      </x:c>
      <x:c r="F148" s="11" t="n">
        <x:v>2874</x:v>
      </x:c>
      <x:c r="G148" s="11" t="n">
        <x:v>3511</x:v>
      </x:c>
      <x:c r="H148" s="11" t="n">
        <x:v>506</x:v>
      </x:c>
      <x:c r="I148" s="11" t="n">
        <x:v>569</x:v>
      </x:c>
      <x:c r="J148" s="11" t="n">
        <x:v>1942424</x:v>
      </x:c>
      <x:c r="K148" s="11" t="n">
        <x:v>2091586</x:v>
      </x:c>
      <x:c r="L148" s="11" t="n">
        <x:v>152787</x:v>
      </x:c>
      <x:c r="M148" s="11" t="n">
        <x:v>177130</x:v>
      </x:c>
      <x:c r="N148" s="11" t="n">
        <x:v>61677</x:v>
      </x:c>
      <x:c r="O148" s="11" t="n">
        <x:v>68093</x:v>
      </x:c>
      <x:c r="P148" s="11" t="n">
        <x:v>16</x:v>
      </x:c>
      <x:c r="Q148" s="2"/>
      <x:c r="R148" s="2"/>
      <x:c r="S148" s="2"/>
      <x:c r="T148" s="2"/>
      <x:c r="U148" s="2"/>
    </x:row>
    <x:row r="149" ht="26" customHeight="1">
      <x:c r="A149" s="2" t="str">
        <x:v>E08000009</x:v>
      </x:c>
      <x:c r="B149" s="2" t="str">
        <x:v>State-funded primary</x:v>
      </x:c>
      <x:c r="C149" s="2" t="str">
        <x:v>Trafford</x:v>
      </x:c>
      <x:c r="D149" s="11" t="n">
        <x:v>18551</x:v>
      </x:c>
      <x:c r="E149" s="11" t="n">
        <x:v>17976</x:v>
      </x:c>
      <x:c r="F149" s="11" t="n">
        <x:v>1959</x:v>
      </x:c>
      <x:c r="G149" s="11" t="n">
        <x:v>1886</x:v>
      </x:c>
      <x:c r="H149" s="11" t="n">
        <x:v>66</x:v>
      </x:c>
      <x:c r="I149" s="11" t="n">
        <x:v>102</x:v>
      </x:c>
      <x:c r="J149" s="11" t="n">
        <x:v>2653775</x:v>
      </x:c>
      <x:c r="K149" s="11" t="n">
        <x:v>2569985</x:v>
      </x:c>
      <x:c r="L149" s="11" t="n">
        <x:v>107456</x:v>
      </x:c>
      <x:c r="M149" s="11" t="n">
        <x:v>106079</x:v>
      </x:c>
      <x:c r="N149" s="11" t="n">
        <x:v>64662</x:v>
      </x:c>
      <x:c r="O149" s="11" t="n">
        <x:v>8171</x:v>
      </x:c>
      <x:c r="P149" s="11" t="n">
        <x:v>63</x:v>
      </x:c>
      <x:c r="Q149" s="2"/>
      <x:c r="R149" s="2"/>
      <x:c r="S149" s="2"/>
      <x:c r="T149" s="2"/>
      <x:c r="U149" s="2"/>
    </x:row>
    <x:row r="150" ht="26" customHeight="1">
      <x:c r="A150" s="2" t="str">
        <x:v>E08000009</x:v>
      </x:c>
      <x:c r="B150" s="2" t="str">
        <x:v>State-funded secondary</x:v>
      </x:c>
      <x:c r="C150" s="2" t="str">
        <x:v>Trafford</x:v>
      </x:c>
      <x:c r="D150" s="11" t="n">
        <x:v>17487</x:v>
      </x:c>
      <x:c r="E150" s="11" t="n">
        <x:v>17611</x:v>
      </x:c>
      <x:c r="F150" s="11" t="n">
        <x:v>2393</x:v>
      </x:c>
      <x:c r="G150" s="11" t="n">
        <x:v>2587</x:v>
      </x:c>
      <x:c r="H150" s="11" t="n">
        <x:v>315</x:v>
      </x:c>
      <x:c r="I150" s="11" t="n">
        <x:v>333</x:v>
      </x:c>
      <x:c r="J150" s="11" t="n">
        <x:v>2461462</x:v>
      </x:c>
      <x:c r="K150" s="11" t="n">
        <x:v>2466816</x:v>
      </x:c>
      <x:c r="L150" s="11" t="n">
        <x:v>137147</x:v>
      </x:c>
      <x:c r="M150" s="11" t="n">
        <x:v>144571</x:v>
      </x:c>
      <x:c r="N150" s="11" t="n">
        <x:v>94110</x:v>
      </x:c>
      <x:c r="O150" s="11" t="n">
        <x:v>18532</x:v>
      </x:c>
      <x:c r="P150" s="11" t="n">
        <x:v>19</x:v>
      </x:c>
      <x:c r="Q150" s="2"/>
      <x:c r="R150" s="2"/>
      <x:c r="S150" s="2"/>
      <x:c r="T150" s="2"/>
      <x:c r="U150" s="2"/>
    </x:row>
    <x:row r="151" ht="26" customHeight="1">
      <x:c r="A151" s="2" t="str">
        <x:v>E08000010</x:v>
      </x:c>
      <x:c r="B151" s="2" t="str">
        <x:v>State-funded primary</x:v>
      </x:c>
      <x:c r="C151" s="2" t="str">
        <x:v>Wigan</x:v>
      </x:c>
      <x:c r="D151" s="11" t="n">
        <x:v>22769</x:v>
      </x:c>
      <x:c r="E151" s="11" t="n">
        <x:v>22493</x:v>
      </x:c>
      <x:c r="F151" s="11" t="n">
        <x:v>3264</x:v>
      </x:c>
      <x:c r="G151" s="11" t="n">
        <x:v>3473</x:v>
      </x:c>
      <x:c r="H151" s="11" t="n">
        <x:v>156</x:v>
      </x:c>
      <x:c r="I151" s="11" t="n">
        <x:v>218</x:v>
      </x:c>
      <x:c r="J151" s="11" t="n">
        <x:v>3280022</x:v>
      </x:c>
      <x:c r="K151" s="11" t="n">
        <x:v>3230256</x:v>
      </x:c>
      <x:c r="L151" s="11" t="n">
        <x:v>163936</x:v>
      </x:c>
      <x:c r="M151" s="11" t="n">
        <x:v>170523</x:v>
      </x:c>
      <x:c r="N151" s="11" t="n">
        <x:v>102415</x:v>
      </x:c>
      <x:c r="O151" s="11" t="n">
        <x:v>18938</x:v>
      </x:c>
      <x:c r="P151" s="11" t="n">
        <x:v>99</x:v>
      </x:c>
      <x:c r="Q151" s="2"/>
      <x:c r="R151" s="2"/>
      <x:c r="S151" s="2"/>
      <x:c r="T151" s="2"/>
      <x:c r="U151" s="2"/>
    </x:row>
    <x:row r="152" ht="26" customHeight="1">
      <x:c r="A152" s="2" t="str">
        <x:v>E08000010</x:v>
      </x:c>
      <x:c r="B152" s="2" t="str">
        <x:v>State-funded secondary</x:v>
      </x:c>
      <x:c r="C152" s="2" t="str">
        <x:v>Wigan</x:v>
      </x:c>
      <x:c r="D152" s="11" t="n">
        <x:v>19832</x:v>
      </x:c>
      <x:c r="E152" s="11" t="n">
        <x:v>19738</x:v>
      </x:c>
      <x:c r="F152" s="11" t="n">
        <x:v>4141</x:v>
      </x:c>
      <x:c r="G152" s="11" t="n">
        <x:v>4347</x:v>
      </x:c>
      <x:c r="H152" s="11" t="n">
        <x:v>591</x:v>
      </x:c>
      <x:c r="I152" s="11" t="n">
        <x:v>596</x:v>
      </x:c>
      <x:c r="J152" s="11" t="n">
        <x:v>2808643</x:v>
      </x:c>
      <x:c r="K152" s="11" t="n">
        <x:v>2796096</x:v>
      </x:c>
      <x:c r="L152" s="11" t="n">
        <x:v>213922</x:v>
      </x:c>
      <x:c r="M152" s="11" t="n">
        <x:v>219931</x:v>
      </x:c>
      <x:c r="N152" s="11" t="n">
        <x:v>113289</x:v>
      </x:c>
      <x:c r="O152" s="11" t="n">
        <x:v>55085</x:v>
      </x:c>
      <x:c r="P152" s="11" t="n">
        <x:v>19</x:v>
      </x:c>
      <x:c r="Q152" s="2"/>
      <x:c r="R152" s="2"/>
      <x:c r="S152" s="2"/>
      <x:c r="T152" s="2"/>
      <x:c r="U152" s="2"/>
    </x:row>
    <x:row r="153" ht="26" customHeight="1">
      <x:c r="A153" s="2" t="str">
        <x:v>E08000011</x:v>
      </x:c>
      <x:c r="B153" s="2" t="str">
        <x:v>State-funded primary</x:v>
      </x:c>
      <x:c r="C153" s="2" t="str">
        <x:v>Knowsley</x:v>
      </x:c>
      <x:c r="D153" s="11" t="n">
        <x:v>11712</x:v>
      </x:c>
      <x:c r="E153" s="11" t="n">
        <x:v>11688</x:v>
      </x:c>
      <x:c r="F153" s="11" t="n">
        <x:v>2330</x:v>
      </x:c>
      <x:c r="G153" s="11" t="n">
        <x:v>2457</x:v>
      </x:c>
      <x:c r="H153" s="11" t="n">
        <x:v>78</x:v>
      </x:c>
      <x:c r="I153" s="11" t="n">
        <x:v>133</x:v>
      </x:c>
      <x:c r="J153" s="11" t="n">
        <x:v>1682056</x:v>
      </x:c>
      <x:c r="K153" s="11" t="n">
        <x:v>1669130</x:v>
      </x:c>
      <x:c r="L153" s="11" t="n">
        <x:v>101897</x:v>
      </x:c>
      <x:c r="M153" s="11" t="n">
        <x:v>108113</x:v>
      </x:c>
      <x:c r="N153" s="11" t="n">
        <x:v>49876</x:v>
      </x:c>
      <x:c r="O153" s="11" t="n">
        <x:v>28863</x:v>
      </x:c>
      <x:c r="P153" s="11" t="n">
        <x:v>50</x:v>
      </x:c>
      <x:c r="Q153" s="2"/>
      <x:c r="R153" s="2"/>
      <x:c r="S153" s="2"/>
      <x:c r="T153" s="2"/>
      <x:c r="U153" s="2"/>
    </x:row>
    <x:row r="154" ht="26" customHeight="1">
      <x:c r="A154" s="2" t="str">
        <x:v>E08000011</x:v>
      </x:c>
      <x:c r="B154" s="2" t="str">
        <x:v>State-funded secondary</x:v>
      </x:c>
      <x:c r="C154" s="2" t="str">
        <x:v>Knowsley</x:v>
      </x:c>
      <x:c r="D154" s="11" t="n">
        <x:v>5996</x:v>
      </x:c>
      <x:c r="E154" s="11" t="n">
        <x:v>6012</x:v>
      </x:c>
      <x:c r="F154" s="11" t="n">
        <x:v>1784</x:v>
      </x:c>
      <x:c r="G154" s="11" t="n">
        <x:v>1964</x:v>
      </x:c>
      <x:c r="H154" s="11" t="n">
        <x:v>279</x:v>
      </x:c>
      <x:c r="I154" s="11" t="n">
        <x:v>299</x:v>
      </x:c>
      <x:c r="J154" s="11" t="n">
        <x:v>843618</x:v>
      </x:c>
      <x:c r="K154" s="11" t="n">
        <x:v>844627</x:v>
      </x:c>
      <x:c r="L154" s="11" t="n">
        <x:v>86770</x:v>
      </x:c>
      <x:c r="M154" s="11" t="n">
        <x:v>92133</x:v>
      </x:c>
      <x:c r="N154" s="11" t="n">
        <x:v>20218</x:v>
      </x:c>
      <x:c r="O154" s="11" t="n">
        <x:v>50266</x:v>
      </x:c>
      <x:c r="P154" s="11" t="n">
        <x:v>6</x:v>
      </x:c>
      <x:c r="Q154" s="2"/>
      <x:c r="R154" s="2"/>
      <x:c r="S154" s="2"/>
      <x:c r="T154" s="2"/>
      <x:c r="U154" s="2"/>
    </x:row>
    <x:row r="155" ht="26" customHeight="1">
      <x:c r="A155" s="2" t="str">
        <x:v>E08000012</x:v>
      </x:c>
      <x:c r="B155" s="2" t="str">
        <x:v>State-funded primary</x:v>
      </x:c>
      <x:c r="C155" s="2" t="str">
        <x:v>Liverpool</x:v>
      </x:c>
      <x:c r="D155" s="11" t="n">
        <x:v>34186</x:v>
      </x:c>
      <x:c r="E155" s="11" t="n">
        <x:v>33558</x:v>
      </x:c>
      <x:c r="F155" s="11" t="n">
        <x:v>5108</x:v>
      </x:c>
      <x:c r="G155" s="11" t="n">
        <x:v>5463</x:v>
      </x:c>
      <x:c r="H155" s="11" t="n">
        <x:v>227</x:v>
      </x:c>
      <x:c r="I155" s="11" t="n">
        <x:v>262</x:v>
      </x:c>
      <x:c r="J155" s="11" t="n">
        <x:v>4860917</x:v>
      </x:c>
      <x:c r="K155" s="11" t="n">
        <x:v>4758632</x:v>
      </x:c>
      <x:c r="L155" s="11" t="n">
        <x:v>246467</x:v>
      </x:c>
      <x:c r="M155" s="11" t="n">
        <x:v>260759</x:v>
      </x:c>
      <x:c r="N155" s="11" t="n">
        <x:v>121264</x:v>
      </x:c>
      <x:c r="O155" s="11" t="n">
        <x:v>69260</x:v>
      </x:c>
      <x:c r="P155" s="11" t="n">
        <x:v>115</x:v>
      </x:c>
      <x:c r="Q155" s="2"/>
      <x:c r="R155" s="2"/>
      <x:c r="S155" s="2"/>
      <x:c r="T155" s="2"/>
      <x:c r="U155" s="2"/>
    </x:row>
    <x:row r="156" ht="26" customHeight="1">
      <x:c r="A156" s="2" t="str">
        <x:v>E08000012</x:v>
      </x:c>
      <x:c r="B156" s="2" t="str">
        <x:v>State-funded secondary</x:v>
      </x:c>
      <x:c r="C156" s="2" t="str">
        <x:v>Liverpool</x:v>
      </x:c>
      <x:c r="D156" s="11" t="n">
        <x:v>27496</x:v>
      </x:c>
      <x:c r="E156" s="11" t="n">
        <x:v>28767</x:v>
      </x:c>
      <x:c r="F156" s="11" t="n">
        <x:v>6459</x:v>
      </x:c>
      <x:c r="G156" s="11" t="n">
        <x:v>7051</x:v>
      </x:c>
      <x:c r="H156" s="11" t="n">
        <x:v>1115</x:v>
      </x:c>
      <x:c r="I156" s="11" t="n">
        <x:v>1109</x:v>
      </x:c>
      <x:c r="J156" s="11" t="n">
        <x:v>3798250</x:v>
      </x:c>
      <x:c r="K156" s="11" t="n">
        <x:v>3922934</x:v>
      </x:c>
      <x:c r="L156" s="11" t="n">
        <x:v>327394</x:v>
      </x:c>
      <x:c r="M156" s="11" t="n">
        <x:v>347929</x:v>
      </x:c>
      <x:c r="N156" s="11" t="n">
        <x:v>115039</x:v>
      </x:c>
      <x:c r="O156" s="11" t="n">
        <x:v>156382</x:v>
      </x:c>
      <x:c r="P156" s="11" t="n">
        <x:v>33</x:v>
      </x:c>
      <x:c r="Q156" s="2"/>
      <x:c r="R156" s="2"/>
      <x:c r="S156" s="2"/>
      <x:c r="T156" s="2"/>
      <x:c r="U156" s="2"/>
    </x:row>
    <x:row r="157" ht="26" customHeight="1">
      <x:c r="A157" s="2" t="str">
        <x:v>E08000013</x:v>
      </x:c>
      <x:c r="B157" s="2" t="str">
        <x:v>State-funded primary</x:v>
      </x:c>
      <x:c r="C157" s="2" t="str">
        <x:v>St. Helens</x:v>
      </x:c>
      <x:c r="D157" s="11" t="n">
        <x:v>12381</x:v>
      </x:c>
      <x:c r="E157" s="11" t="n">
        <x:v>12142</x:v>
      </x:c>
      <x:c r="F157" s="11" t="n">
        <x:v>1754</x:v>
      </x:c>
      <x:c r="G157" s="11" t="n">
        <x:v>1695</x:v>
      </x:c>
      <x:c r="H157" s="11" t="n">
        <x:v>103</x:v>
      </x:c>
      <x:c r="I157" s="11" t="n">
        <x:v>96</x:v>
      </x:c>
      <x:c r="J157" s="11" t="n">
        <x:v>1762356</x:v>
      </x:c>
      <x:c r="K157" s="11" t="n">
        <x:v>1715639</x:v>
      </x:c>
      <x:c r="L157" s="11" t="n">
        <x:v>86770</x:v>
      </x:c>
      <x:c r="M157" s="11" t="n">
        <x:v>85126</x:v>
      </x:c>
      <x:c r="N157" s="11" t="n">
        <x:v>49385</x:v>
      </x:c>
      <x:c r="O157" s="11" t="n">
        <x:v>11675</x:v>
      </x:c>
      <x:c r="P157" s="11" t="n">
        <x:v>54</x:v>
      </x:c>
      <x:c r="Q157" s="2"/>
      <x:c r="R157" s="2"/>
      <x:c r="S157" s="2"/>
      <x:c r="T157" s="2"/>
      <x:c r="U157" s="2"/>
    </x:row>
    <x:row r="158" ht="26" customHeight="1">
      <x:c r="A158" s="2" t="str">
        <x:v>E08000013</x:v>
      </x:c>
      <x:c r="B158" s="2" t="str">
        <x:v>State-funded secondary</x:v>
      </x:c>
      <x:c r="C158" s="2" t="str">
        <x:v>St. Helens</x:v>
      </x:c>
      <x:c r="D158" s="11" t="n">
        <x:v>10376</x:v>
      </x:c>
      <x:c r="E158" s="11" t="n">
        <x:v>10271</x:v>
      </x:c>
      <x:c r="F158" s="11" t="n">
        <x:v>2403</x:v>
      </x:c>
      <x:c r="G158" s="11" t="n">
        <x:v>2349</x:v>
      </x:c>
      <x:c r="H158" s="11" t="n">
        <x:v>414</x:v>
      </x:c>
      <x:c r="I158" s="11" t="n">
        <x:v>397</x:v>
      </x:c>
      <x:c r="J158" s="11" t="n">
        <x:v>1331217</x:v>
      </x:c>
      <x:c r="K158" s="11" t="n">
        <x:v>1426927</x:v>
      </x:c>
      <x:c r="L158" s="11" t="n">
        <x:v>112337</x:v>
      </x:c>
      <x:c r="M158" s="11" t="n">
        <x:v>121442</x:v>
      </x:c>
      <x:c r="N158" s="11" t="n">
        <x:v>52643</x:v>
      </x:c>
      <x:c r="O158" s="11" t="n">
        <x:v>41902</x:v>
      </x:c>
      <x:c r="P158" s="11" t="n">
        <x:v>9</x:v>
      </x:c>
      <x:c r="Q158" s="2"/>
      <x:c r="R158" s="2"/>
      <x:c r="S158" s="2"/>
      <x:c r="T158" s="2"/>
      <x:c r="U158" s="2"/>
    </x:row>
    <x:row r="159" ht="26" customHeight="1">
      <x:c r="A159" s="2" t="str">
        <x:v>E08000014</x:v>
      </x:c>
      <x:c r="B159" s="2" t="str">
        <x:v>State-funded primary</x:v>
      </x:c>
      <x:c r="C159" s="2" t="str">
        <x:v>Sefton</x:v>
      </x:c>
      <x:c r="D159" s="11" t="n">
        <x:v>17664</x:v>
      </x:c>
      <x:c r="E159" s="11" t="n">
        <x:v>17633</x:v>
      </x:c>
      <x:c r="F159" s="11" t="n">
        <x:v>2630</x:v>
      </x:c>
      <x:c r="G159" s="11" t="n">
        <x:v>2635</x:v>
      </x:c>
      <x:c r="H159" s="11" t="n">
        <x:v>106</x:v>
      </x:c>
      <x:c r="I159" s="11" t="n">
        <x:v>129</x:v>
      </x:c>
      <x:c r="J159" s="11" t="n">
        <x:v>2544794</x:v>
      </x:c>
      <x:c r="K159" s="11" t="n">
        <x:v>2531569</x:v>
      </x:c>
      <x:c r="L159" s="11" t="n">
        <x:v>128885</x:v>
      </x:c>
      <x:c r="M159" s="11" t="n">
        <x:v>131179</x:v>
      </x:c>
      <x:c r="N159" s="11" t="n">
        <x:v>78915</x:v>
      </x:c>
      <x:c r="O159" s="11" t="n">
        <x:v>14037</x:v>
      </x:c>
      <x:c r="P159" s="11" t="n">
        <x:v>74</x:v>
      </x:c>
      <x:c r="Q159" s="2"/>
      <x:c r="R159" s="2"/>
      <x:c r="S159" s="2"/>
      <x:c r="T159" s="2"/>
      <x:c r="U159" s="2"/>
    </x:row>
    <x:row r="160" ht="26" customHeight="1">
      <x:c r="A160" s="2" t="str">
        <x:v>E08000014</x:v>
      </x:c>
      <x:c r="B160" s="2" t="str">
        <x:v>State-funded secondary</x:v>
      </x:c>
      <x:c r="C160" s="2" t="str">
        <x:v>Sefton</x:v>
      </x:c>
      <x:c r="D160" s="11" t="n">
        <x:v>15898</x:v>
      </x:c>
      <x:c r="E160" s="11" t="n">
        <x:v>15940</x:v>
      </x:c>
      <x:c r="F160" s="11" t="n">
        <x:v>4044</x:v>
      </x:c>
      <x:c r="G160" s="11" t="n">
        <x:v>4451</x:v>
      </x:c>
      <x:c r="H160" s="11" t="n">
        <x:v>692</x:v>
      </x:c>
      <x:c r="I160" s="11" t="n">
        <x:v>689</x:v>
      </x:c>
      <x:c r="J160" s="11" t="n">
        <x:v>2231155</x:v>
      </x:c>
      <x:c r="K160" s="11" t="n">
        <x:v>2234204</x:v>
      </x:c>
      <x:c r="L160" s="11" t="n">
        <x:v>203429</x:v>
      </x:c>
      <x:c r="M160" s="11" t="n">
        <x:v>217627</x:v>
      </x:c>
      <x:c r="N160" s="11" t="n">
        <x:v>88434</x:v>
      </x:c>
      <x:c r="O160" s="11" t="n">
        <x:v>74402</x:v>
      </x:c>
      <x:c r="P160" s="11" t="n">
        <x:v>18</x:v>
      </x:c>
      <x:c r="Q160" s="2"/>
      <x:c r="R160" s="2"/>
      <x:c r="S160" s="2"/>
      <x:c r="T160" s="2"/>
      <x:c r="U160" s="2"/>
    </x:row>
    <x:row r="161" ht="26" customHeight="1">
      <x:c r="A161" s="2" t="str">
        <x:v>E08000015</x:v>
      </x:c>
      <x:c r="B161" s="2" t="str">
        <x:v>State-funded primary</x:v>
      </x:c>
      <x:c r="C161" s="2" t="str">
        <x:v>Wirral</x:v>
      </x:c>
      <x:c r="D161" s="11" t="n">
        <x:v>20891</x:v>
      </x:c>
      <x:c r="E161" s="11" t="n">
        <x:v>20571</x:v>
      </x:c>
      <x:c r="F161" s="11" t="n">
        <x:v>3279</x:v>
      </x:c>
      <x:c r="G161" s="11" t="n">
        <x:v>3272</x:v>
      </x:c>
      <x:c r="H161" s="11" t="n">
        <x:v>157</x:v>
      </x:c>
      <x:c r="I161" s="11" t="n">
        <x:v>158</x:v>
      </x:c>
      <x:c r="J161" s="11" t="n">
        <x:v>2992879</x:v>
      </x:c>
      <x:c r="K161" s="11" t="n">
        <x:v>2935375</x:v>
      </x:c>
      <x:c r="L161" s="11" t="n">
        <x:v>160102</x:v>
      </x:c>
      <x:c r="M161" s="11" t="n">
        <x:v>160578</x:v>
      </x:c>
      <x:c r="N161" s="11" t="n">
        <x:v>93526</x:v>
      </x:c>
      <x:c r="O161" s="11" t="n">
        <x:v>20804</x:v>
      </x:c>
      <x:c r="P161" s="11" t="n">
        <x:v>90</x:v>
      </x:c>
      <x:c r="Q161" s="2"/>
      <x:c r="R161" s="2"/>
      <x:c r="S161" s="2"/>
      <x:c r="T161" s="2"/>
      <x:c r="U161" s="2"/>
    </x:row>
    <x:row r="162" ht="26" customHeight="1">
      <x:c r="A162" s="2" t="str">
        <x:v>E08000015</x:v>
      </x:c>
      <x:c r="B162" s="2" t="str">
        <x:v>State-funded secondary</x:v>
      </x:c>
      <x:c r="C162" s="2" t="str">
        <x:v>Wirral</x:v>
      </x:c>
      <x:c r="D162" s="11" t="n">
        <x:v>19486</x:v>
      </x:c>
      <x:c r="E162" s="11" t="n">
        <x:v>19305</x:v>
      </x:c>
      <x:c r="F162" s="11" t="n">
        <x:v>4435</x:v>
      </x:c>
      <x:c r="G162" s="11" t="n">
        <x:v>4682</x:v>
      </x:c>
      <x:c r="H162" s="11" t="n">
        <x:v>692</x:v>
      </x:c>
      <x:c r="I162" s="11" t="n">
        <x:v>615</x:v>
      </x:c>
      <x:c r="J162" s="11" t="n">
        <x:v>2725633</x:v>
      </x:c>
      <x:c r="K162" s="11" t="n">
        <x:v>2688105</x:v>
      </x:c>
      <x:c r="L162" s="11" t="n">
        <x:v>229127</x:v>
      </x:c>
      <x:c r="M162" s="11" t="n">
        <x:v>231291</x:v>
      </x:c>
      <x:c r="N162" s="11" t="n">
        <x:v>110956</x:v>
      </x:c>
      <x:c r="O162" s="11" t="n">
        <x:v>69770</x:v>
      </x:c>
      <x:c r="P162" s="11" t="n">
        <x:v>20</x:v>
      </x:c>
      <x:c r="Q162" s="2"/>
      <x:c r="R162" s="2"/>
      <x:c r="S162" s="2"/>
      <x:c r="T162" s="2"/>
      <x:c r="U162" s="2"/>
    </x:row>
    <x:row r="163" ht="26" customHeight="1">
      <x:c r="A163" s="2" t="str">
        <x:v>E08000016</x:v>
      </x:c>
      <x:c r="B163" s="2" t="str">
        <x:v>State-funded primary</x:v>
      </x:c>
      <x:c r="C163" s="2" t="str">
        <x:v>Barnsley</x:v>
      </x:c>
      <x:c r="D163" s="11" t="n">
        <x:v>16832</x:v>
      </x:c>
      <x:c r="E163" s="11" t="n">
        <x:v>16693</x:v>
      </x:c>
      <x:c r="F163" s="11" t="n">
        <x:v>2477</x:v>
      </x:c>
      <x:c r="G163" s="11" t="n">
        <x:v>2611</x:v>
      </x:c>
      <x:c r="H163" s="11" t="n">
        <x:v>152</x:v>
      </x:c>
      <x:c r="I163" s="11" t="n">
        <x:v>164</x:v>
      </x:c>
      <x:c r="J163" s="11" t="n">
        <x:v>2397256</x:v>
      </x:c>
      <x:c r="K163" s="11" t="n">
        <x:v>2366073</x:v>
      </x:c>
      <x:c r="L163" s="11" t="n">
        <x:v>120092</x:v>
      </x:c>
      <x:c r="M163" s="11" t="n">
        <x:v>127173</x:v>
      </x:c>
      <x:c r="N163" s="11" t="n">
        <x:v>67683</x:v>
      </x:c>
      <x:c r="O163" s="11" t="n">
        <x:v>19023</x:v>
      </x:c>
      <x:c r="P163" s="11" t="n">
        <x:v>77</x:v>
      </x:c>
      <x:c r="Q163" s="2"/>
      <x:c r="R163" s="2"/>
      <x:c r="S163" s="2"/>
      <x:c r="T163" s="2"/>
      <x:c r="U163" s="2"/>
    </x:row>
    <x:row r="164" ht="26" customHeight="1">
      <x:c r="A164" s="2" t="str">
        <x:v>E08000016</x:v>
      </x:c>
      <x:c r="B164" s="2" t="str">
        <x:v>State-funded secondary</x:v>
      </x:c>
      <x:c r="C164" s="2" t="str">
        <x:v>Barnsley</x:v>
      </x:c>
      <x:c r="D164" s="11" t="n">
        <x:v>13858</x:v>
      </x:c>
      <x:c r="E164" s="11" t="n">
        <x:v>13887</x:v>
      </x:c>
      <x:c r="F164" s="11" t="n">
        <x:v>3359</x:v>
      </x:c>
      <x:c r="G164" s="11" t="n">
        <x:v>3747</x:v>
      </x:c>
      <x:c r="H164" s="11" t="n">
        <x:v>627</x:v>
      </x:c>
      <x:c r="I164" s="11" t="n">
        <x:v>707</x:v>
      </x:c>
      <x:c r="J164" s="11" t="n">
        <x:v>1923176</x:v>
      </x:c>
      <x:c r="K164" s="11" t="n">
        <x:v>1911929</x:v>
      </x:c>
      <x:c r="L164" s="11" t="n">
        <x:v>170052</x:v>
      </x:c>
      <x:c r="M164" s="11" t="n">
        <x:v>187228</x:v>
      </x:c>
      <x:c r="N164" s="11" t="n">
        <x:v>74837</x:v>
      </x:c>
      <x:c r="O164" s="11" t="n">
        <x:v>61213</x:v>
      </x:c>
      <x:c r="P164" s="11" t="n">
        <x:v>11</x:v>
      </x:c>
      <x:c r="Q164" s="2"/>
      <x:c r="R164" s="2"/>
      <x:c r="S164" s="2"/>
      <x:c r="T164" s="2"/>
      <x:c r="U164" s="2"/>
    </x:row>
    <x:row r="165" ht="26" customHeight="1">
      <x:c r="A165" s="2" t="str">
        <x:v>E08000017</x:v>
      </x:c>
      <x:c r="B165" s="2" t="str">
        <x:v>State-funded primary</x:v>
      </x:c>
      <x:c r="C165" s="2" t="str">
        <x:v>Doncaster</x:v>
      </x:c>
      <x:c r="D165" s="11" t="n">
        <x:v>22204</x:v>
      </x:c>
      <x:c r="E165" s="11" t="n">
        <x:v>22422</x:v>
      </x:c>
      <x:c r="F165" s="11" t="n">
        <x:v>3390</x:v>
      </x:c>
      <x:c r="G165" s="11" t="n">
        <x:v>3482</x:v>
      </x:c>
      <x:c r="H165" s="11" t="n">
        <x:v>156</x:v>
      </x:c>
      <x:c r="I165" s="11" t="n">
        <x:v>194</x:v>
      </x:c>
      <x:c r="J165" s="11" t="n">
        <x:v>3157402</x:v>
      </x:c>
      <x:c r="K165" s="11" t="n">
        <x:v>3153627</x:v>
      </x:c>
      <x:c r="L165" s="11" t="n">
        <x:v>159469</x:v>
      </x:c>
      <x:c r="M165" s="11" t="n">
        <x:v>163215</x:v>
      </x:c>
      <x:c r="N165" s="11" t="n">
        <x:v>88885</x:v>
      </x:c>
      <x:c r="O165" s="11" t="n">
        <x:v>22657</x:v>
      </x:c>
      <x:c r="P165" s="11" t="n">
        <x:v>98</x:v>
      </x:c>
      <x:c r="Q165" s="2"/>
      <x:c r="R165" s="2"/>
      <x:c r="S165" s="2"/>
      <x:c r="T165" s="2"/>
      <x:c r="U165" s="2"/>
    </x:row>
    <x:row r="166" ht="26" customHeight="1">
      <x:c r="A166" s="2" t="str">
        <x:v>E08000017</x:v>
      </x:c>
      <x:c r="B166" s="2" t="str">
        <x:v>State-funded secondary</x:v>
      </x:c>
      <x:c r="C166" s="2" t="str">
        <x:v>Doncaster</x:v>
      </x:c>
      <x:c r="D166" s="11" t="n">
        <x:v>18217</x:v>
      </x:c>
      <x:c r="E166" s="11" t="n">
        <x:v>18162</x:v>
      </x:c>
      <x:c r="F166" s="11" t="n">
        <x:v>4031</x:v>
      </x:c>
      <x:c r="G166" s="11" t="n">
        <x:v>4090</x:v>
      </x:c>
      <x:c r="H166" s="11" t="n">
        <x:v>610</x:v>
      </x:c>
      <x:c r="I166" s="11" t="n">
        <x:v>673</x:v>
      </x:c>
      <x:c r="J166" s="11" t="n">
        <x:v>2541587</x:v>
      </x:c>
      <x:c r="K166" s="11" t="n">
        <x:v>2486573</x:v>
      </x:c>
      <x:c r="L166" s="11" t="n">
        <x:v>191154</x:v>
      </x:c>
      <x:c r="M166" s="11" t="n">
        <x:v>193226</x:v>
      </x:c>
      <x:c r="N166" s="11" t="n">
        <x:v>77757</x:v>
      </x:c>
      <x:c r="O166" s="11" t="n">
        <x:v>66401</x:v>
      </x:c>
      <x:c r="P166" s="11" t="n">
        <x:v>20</x:v>
      </x:c>
      <x:c r="Q166" s="2"/>
      <x:c r="R166" s="2"/>
      <x:c r="S166" s="2"/>
      <x:c r="T166" s="2"/>
      <x:c r="U166" s="2"/>
    </x:row>
    <x:row r="167" ht="26" customHeight="1">
      <x:c r="A167" s="2" t="str">
        <x:v>E08000018</x:v>
      </x:c>
      <x:c r="B167" s="2" t="str">
        <x:v>State-funded primary</x:v>
      </x:c>
      <x:c r="C167" s="2" t="str">
        <x:v>Rotherham</x:v>
      </x:c>
      <x:c r="D167" s="11" t="n">
        <x:v>19723</x:v>
      </x:c>
      <x:c r="E167" s="11" t="n">
        <x:v>19450</x:v>
      </x:c>
      <x:c r="F167" s="11" t="n">
        <x:v>3210</x:v>
      </x:c>
      <x:c r="G167" s="11" t="n">
        <x:v>3324</x:v>
      </x:c>
      <x:c r="H167" s="11" t="n">
        <x:v>230</x:v>
      </x:c>
      <x:c r="I167" s="11" t="n">
        <x:v>230</x:v>
      </x:c>
      <x:c r="J167" s="11" t="n">
        <x:v>2776165</x:v>
      </x:c>
      <x:c r="K167" s="11" t="n">
        <x:v>2746944</x:v>
      </x:c>
      <x:c r="L167" s="11" t="n">
        <x:v>149194</x:v>
      </x:c>
      <x:c r="M167" s="11" t="n">
        <x:v>153100</x:v>
      </x:c>
      <x:c r="N167" s="11" t="n">
        <x:v>82432</x:v>
      </x:c>
      <x:c r="O167" s="11" t="n">
        <x:v>23308</x:v>
      </x:c>
      <x:c r="P167" s="11" t="n">
        <x:v>96</x:v>
      </x:c>
      <x:c r="Q167" s="2"/>
      <x:c r="R167" s="2"/>
      <x:c r="S167" s="2"/>
      <x:c r="T167" s="2"/>
      <x:c r="U167" s="2"/>
    </x:row>
    <x:row r="168" ht="26" customHeight="1">
      <x:c r="A168" s="2" t="str">
        <x:v>E08000018</x:v>
      </x:c>
      <x:c r="B168" s="2" t="str">
        <x:v>State-funded secondary</x:v>
      </x:c>
      <x:c r="C168" s="2" t="str">
        <x:v>Rotherham</x:v>
      </x:c>
      <x:c r="D168" s="11" t="n">
        <x:v>17947</x:v>
      </x:c>
      <x:c r="E168" s="11" t="n">
        <x:v>17712</x:v>
      </x:c>
      <x:c r="F168" s="11" t="n">
        <x:v>4418</x:v>
      </x:c>
      <x:c r="G168" s="11" t="n">
        <x:v>4171</x:v>
      </x:c>
      <x:c r="H168" s="11" t="n">
        <x:v>726</x:v>
      </x:c>
      <x:c r="I168" s="11" t="n">
        <x:v>658</x:v>
      </x:c>
      <x:c r="J168" s="11" t="n">
        <x:v>2483712</x:v>
      </x:c>
      <x:c r="K168" s="11" t="n">
        <x:v>2486483</x:v>
      </x:c>
      <x:c r="L168" s="11" t="n">
        <x:v>214549</x:v>
      </x:c>
      <x:c r="M168" s="11" t="n">
        <x:v>211500</x:v>
      </x:c>
      <x:c r="N168" s="11" t="n">
        <x:v>69205</x:v>
      </x:c>
      <x:c r="O168" s="11" t="n">
        <x:v>87189</x:v>
      </x:c>
      <x:c r="P168" s="11" t="n">
        <x:v>16</x:v>
      </x:c>
      <x:c r="Q168" s="2"/>
      <x:c r="R168" s="2"/>
      <x:c r="S168" s="2"/>
      <x:c r="T168" s="2"/>
      <x:c r="U168" s="2"/>
    </x:row>
    <x:row r="169" ht="26" customHeight="1">
      <x:c r="A169" s="2" t="str">
        <x:v>E08000019</x:v>
      </x:c>
      <x:c r="B169" s="2" t="str">
        <x:v>State-funded primary</x:v>
      </x:c>
      <x:c r="C169" s="2" t="str">
        <x:v>Sheffield</x:v>
      </x:c>
      <x:c r="D169" s="11" t="n">
        <x:v>38304</x:v>
      </x:c>
      <x:c r="E169" s="11" t="n">
        <x:v>37607</x:v>
      </x:c>
      <x:c r="F169" s="11" t="n">
        <x:v>6309</x:v>
      </x:c>
      <x:c r="G169" s="11" t="n">
        <x:v>6242</x:v>
      </x:c>
      <x:c r="H169" s="11" t="n">
        <x:v>529</x:v>
      </x:c>
      <x:c r="I169" s="11" t="n">
        <x:v>535</x:v>
      </x:c>
      <x:c r="J169" s="11" t="n">
        <x:v>5400250</x:v>
      </x:c>
      <x:c r="K169" s="11" t="n">
        <x:v>5310090</x:v>
      </x:c>
      <x:c r="L169" s="11" t="n">
        <x:v>297627</x:v>
      </x:c>
      <x:c r="M169" s="11" t="n">
        <x:v>299326</x:v>
      </x:c>
      <x:c r="N169" s="11" t="n">
        <x:v>154650</x:v>
      </x:c>
      <x:c r="O169" s="11" t="n">
        <x:v>53519</x:v>
      </x:c>
      <x:c r="P169" s="11" t="n">
        <x:v>132</x:v>
      </x:c>
      <x:c r="Q169" s="2"/>
      <x:c r="R169" s="2"/>
      <x:c r="S169" s="2"/>
      <x:c r="T169" s="2"/>
      <x:c r="U169" s="2"/>
    </x:row>
    <x:row r="170" ht="26" customHeight="1">
      <x:c r="A170" s="2" t="str">
        <x:v>E08000019</x:v>
      </x:c>
      <x:c r="B170" s="2" t="str">
        <x:v>State-funded secondary</x:v>
      </x:c>
      <x:c r="C170" s="2" t="str">
        <x:v>Sheffield</x:v>
      </x:c>
      <x:c r="D170" s="11" t="n">
        <x:v>32461</x:v>
      </x:c>
      <x:c r="E170" s="11" t="n">
        <x:v>32630</x:v>
      </x:c>
      <x:c r="F170" s="11" t="n">
        <x:v>7701</x:v>
      </x:c>
      <x:c r="G170" s="11" t="n">
        <x:v>8065</x:v>
      </x:c>
      <x:c r="H170" s="11" t="n">
        <x:v>1367</x:v>
      </x:c>
      <x:c r="I170" s="11" t="n">
        <x:v>1504</x:v>
      </x:c>
      <x:c r="J170" s="11" t="n">
        <x:v>4482119</x:v>
      </x:c>
      <x:c r="K170" s="11" t="n">
        <x:v>4470996</x:v>
      </x:c>
      <x:c r="L170" s="11" t="n">
        <x:v>386045</x:v>
      </x:c>
      <x:c r="M170" s="11" t="n">
        <x:v>402718</x:v>
      </x:c>
      <x:c r="N170" s="11" t="n">
        <x:v>140182</x:v>
      </x:c>
      <x:c r="O170" s="11" t="n">
        <x:v>157904</x:v>
      </x:c>
      <x:c r="P170" s="11" t="n">
        <x:v>30</x:v>
      </x:c>
      <x:c r="Q170" s="2"/>
      <x:c r="R170" s="2"/>
      <x:c r="S170" s="2"/>
      <x:c r="T170" s="2"/>
      <x:c r="U170" s="2"/>
    </x:row>
    <x:row r="171" ht="26" customHeight="1">
      <x:c r="A171" s="2" t="str">
        <x:v>E08000021</x:v>
      </x:c>
      <x:c r="B171" s="2" t="str">
        <x:v>State-funded primary</x:v>
      </x:c>
      <x:c r="C171" s="2" t="str">
        <x:v>Newcastle upon Tyne</x:v>
      </x:c>
      <x:c r="D171" s="11" t="n">
        <x:v>18334</x:v>
      </x:c>
      <x:c r="E171" s="11" t="n">
        <x:v>18130</x:v>
      </x:c>
      <x:c r="F171" s="11" t="n">
        <x:v>2780</x:v>
      </x:c>
      <x:c r="G171" s="11" t="n">
        <x:v>2866</x:v>
      </x:c>
      <x:c r="H171" s="11" t="n">
        <x:v>143</x:v>
      </x:c>
      <x:c r="I171" s="11" t="n">
        <x:v>145</x:v>
      </x:c>
      <x:c r="J171" s="11" t="n">
        <x:v>2590299</x:v>
      </x:c>
      <x:c r="K171" s="11" t="n">
        <x:v>2575505</x:v>
      </x:c>
      <x:c r="L171" s="11" t="n">
        <x:v>132772</x:v>
      </x:c>
      <x:c r="M171" s="11" t="n">
        <x:v>137302</x:v>
      </x:c>
      <x:c r="N171" s="11" t="n">
        <x:v>75353</x:v>
      </x:c>
      <x:c r="O171" s="11" t="n">
        <x:v>24856</x:v>
      </x:c>
      <x:c r="P171" s="11" t="n">
        <x:v>72</x:v>
      </x:c>
      <x:c r="Q171" s="2"/>
      <x:c r="R171" s="2"/>
      <x:c r="S171" s="2"/>
      <x:c r="T171" s="2"/>
      <x:c r="U171" s="2"/>
    </x:row>
    <x:row r="172" ht="26" customHeight="1">
      <x:c r="A172" s="2" t="str">
        <x:v>E08000021</x:v>
      </x:c>
      <x:c r="B172" s="2" t="str">
        <x:v>State-funded secondary</x:v>
      </x:c>
      <x:c r="C172" s="2" t="str">
        <x:v>Newcastle upon Tyne</x:v>
      </x:c>
      <x:c r="D172" s="11" t="n">
        <x:v>16449</x:v>
      </x:c>
      <x:c r="E172" s="11" t="n">
        <x:v>16517</x:v>
      </x:c>
      <x:c r="F172" s="11" t="n">
        <x:v>3874</x:v>
      </x:c>
      <x:c r="G172" s="11" t="n">
        <x:v>3830</x:v>
      </x:c>
      <x:c r="H172" s="11" t="n">
        <x:v>695</x:v>
      </x:c>
      <x:c r="I172" s="11" t="n">
        <x:v>693</x:v>
      </x:c>
      <x:c r="J172" s="11" t="n">
        <x:v>2299242</x:v>
      </x:c>
      <x:c r="K172" s="11" t="n">
        <x:v>2321335</x:v>
      </x:c>
      <x:c r="L172" s="11" t="n">
        <x:v>203291</x:v>
      </x:c>
      <x:c r="M172" s="11" t="n">
        <x:v>208268</x:v>
      </x:c>
      <x:c r="N172" s="11" t="n">
        <x:v>65505</x:v>
      </x:c>
      <x:c r="O172" s="11" t="n">
        <x:v>94935</x:v>
      </x:c>
      <x:c r="P172" s="11" t="n">
        <x:v>17</x:v>
      </x:c>
      <x:c r="Q172" s="2"/>
      <x:c r="R172" s="2"/>
      <x:c r="S172" s="2"/>
      <x:c r="T172" s="2"/>
      <x:c r="U172" s="2"/>
    </x:row>
    <x:row r="173" ht="26" customHeight="1">
      <x:c r="A173" s="2" t="str">
        <x:v>E08000022</x:v>
      </x:c>
      <x:c r="B173" s="2" t="str">
        <x:v>State-funded primary</x:v>
      </x:c>
      <x:c r="C173" s="2" t="str">
        <x:v>North Tyneside</x:v>
      </x:c>
      <x:c r="D173" s="11" t="n">
        <x:v>12217</x:v>
      </x:c>
      <x:c r="E173" s="11" t="n">
        <x:v>11969</x:v>
      </x:c>
      <x:c r="F173" s="11" t="n">
        <x:v>1626</x:v>
      </x:c>
      <x:c r="G173" s="11" t="n">
        <x:v>1733</x:v>
      </x:c>
      <x:c r="H173" s="11" t="n">
        <x:v>73</x:v>
      </x:c>
      <x:c r="I173" s="11" t="n">
        <x:v>61</x:v>
      </x:c>
      <x:c r="J173" s="11" t="n">
        <x:v>1758567</x:v>
      </x:c>
      <x:c r="K173" s="11" t="n">
        <x:v>1733521</x:v>
      </x:c>
      <x:c r="L173" s="11" t="n">
        <x:v>83292</x:v>
      </x:c>
      <x:c r="M173" s="11" t="n">
        <x:v>86013</x:v>
      </x:c>
      <x:c r="N173" s="11" t="n">
        <x:v>51789</x:v>
      </x:c>
      <x:c r="O173" s="11" t="n">
        <x:v>9108</x:v>
      </x:c>
      <x:c r="P173" s="11" t="n">
        <x:v>55</x:v>
      </x:c>
      <x:c r="Q173" s="2"/>
      <x:c r="R173" s="2"/>
      <x:c r="S173" s="2"/>
      <x:c r="T173" s="2"/>
      <x:c r="U173" s="2"/>
    </x:row>
    <x:row r="174" ht="26" customHeight="1">
      <x:c r="A174" s="2" t="str">
        <x:v>E08000022</x:v>
      </x:c>
      <x:c r="B174" s="2" t="str">
        <x:v>State-funded secondary</x:v>
      </x:c>
      <x:c r="C174" s="2" t="str">
        <x:v>North Tyneside</x:v>
      </x:c>
      <x:c r="D174" s="11" t="n">
        <x:v>12672</x:v>
      </x:c>
      <x:c r="E174" s="11" t="n">
        <x:v>12610</x:v>
      </x:c>
      <x:c r="F174" s="11" t="n">
        <x:v>2515</x:v>
      </x:c>
      <x:c r="G174" s="11" t="n">
        <x:v>2722</x:v>
      </x:c>
      <x:c r="H174" s="11" t="n">
        <x:v>348</x:v>
      </x:c>
      <x:c r="I174" s="11" t="n">
        <x:v>341</x:v>
      </x:c>
      <x:c r="J174" s="11" t="n">
        <x:v>1769995</x:v>
      </x:c>
      <x:c r="K174" s="11" t="n">
        <x:v>1779721</x:v>
      </x:c>
      <x:c r="L174" s="11" t="n">
        <x:v>129425</x:v>
      </x:c>
      <x:c r="M174" s="11" t="n">
        <x:v>137105</x:v>
      </x:c>
      <x:c r="N174" s="11" t="n">
        <x:v>67523</x:v>
      </x:c>
      <x:c r="O174" s="11" t="n">
        <x:v>36151</x:v>
      </x:c>
      <x:c r="P174" s="11" t="n">
        <x:v>16</x:v>
      </x:c>
      <x:c r="Q174" s="2"/>
      <x:c r="R174" s="2"/>
      <x:c r="S174" s="2"/>
      <x:c r="T174" s="2"/>
      <x:c r="U174" s="2"/>
    </x:row>
    <x:row r="175" ht="26" customHeight="1">
      <x:c r="A175" s="2" t="str">
        <x:v>E08000023</x:v>
      </x:c>
      <x:c r="B175" s="2" t="str">
        <x:v>State-funded primary</x:v>
      </x:c>
      <x:c r="C175" s="2" t="str">
        <x:v>South Tyneside</x:v>
      </x:c>
      <x:c r="D175" s="11" t="n">
        <x:v>9988</x:v>
      </x:c>
      <x:c r="E175" s="11" t="n">
        <x:v>9799</x:v>
      </x:c>
      <x:c r="F175" s="11" t="n">
        <x:v>1605</x:v>
      </x:c>
      <x:c r="G175" s="11" t="n">
        <x:v>1660</x:v>
      </x:c>
      <x:c r="H175" s="11" t="n">
        <x:v>62</x:v>
      </x:c>
      <x:c r="I175" s="11" t="n">
        <x:v>74</x:v>
      </x:c>
      <x:c r="J175" s="11" t="n">
        <x:v>1446534</x:v>
      </x:c>
      <x:c r="K175" s="11" t="n">
        <x:v>1411581</x:v>
      </x:c>
      <x:c r="L175" s="11" t="n">
        <x:v>76355</x:v>
      </x:c>
      <x:c r="M175" s="11" t="n">
        <x:v>76909</x:v>
      </x:c>
      <x:c r="N175" s="11" t="n">
        <x:v>49130</x:v>
      </x:c>
      <x:c r="O175" s="11" t="n">
        <x:v>7021</x:v>
      </x:c>
      <x:c r="P175" s="11" t="n">
        <x:v>45</x:v>
      </x:c>
      <x:c r="Q175" s="2"/>
      <x:c r="R175" s="2"/>
      <x:c r="S175" s="2"/>
      <x:c r="T175" s="2"/>
      <x:c r="U175" s="2"/>
    </x:row>
    <x:row r="176" ht="26" customHeight="1">
      <x:c r="A176" s="2" t="str">
        <x:v>E08000023</x:v>
      </x:c>
      <x:c r="B176" s="2" t="str">
        <x:v>State-funded secondary</x:v>
      </x:c>
      <x:c r="C176" s="2" t="str">
        <x:v>South Tyneside</x:v>
      </x:c>
      <x:c r="D176" s="11" t="n">
        <x:v>8875</x:v>
      </x:c>
      <x:c r="E176" s="11" t="n">
        <x:v>8766</x:v>
      </x:c>
      <x:c r="F176" s="11" t="n">
        <x:v>2248</x:v>
      </x:c>
      <x:c r="G176" s="11" t="n">
        <x:v>2448</x:v>
      </x:c>
      <x:c r="H176" s="11" t="n">
        <x:v>339</x:v>
      </x:c>
      <x:c r="I176" s="11" t="n">
        <x:v>364</x:v>
      </x:c>
      <x:c r="J176" s="11" t="n">
        <x:v>1248800</x:v>
      </x:c>
      <x:c r="K176" s="11" t="n">
        <x:v>1237643</x:v>
      </x:c>
      <x:c r="L176" s="11" t="n">
        <x:v>114533</x:v>
      </x:c>
      <x:c r="M176" s="11" t="n">
        <x:v>120215</x:v>
      </x:c>
      <x:c r="N176" s="11" t="n">
        <x:v>67367</x:v>
      </x:c>
      <x:c r="O176" s="11" t="n">
        <x:v>25998</x:v>
      </x:c>
      <x:c r="P176" s="11" t="n">
        <x:v>8</x:v>
      </x:c>
      <x:c r="Q176" s="2"/>
      <x:c r="R176" s="2"/>
      <x:c r="S176" s="2"/>
      <x:c r="T176" s="2"/>
      <x:c r="U176" s="2"/>
    </x:row>
    <x:row r="177" ht="26" customHeight="1">
      <x:c r="A177" s="2" t="str">
        <x:v>E08000024</x:v>
      </x:c>
      <x:c r="B177" s="2" t="str">
        <x:v>State-funded primary</x:v>
      </x:c>
      <x:c r="C177" s="2" t="str">
        <x:v>Sunderland</x:v>
      </x:c>
      <x:c r="D177" s="11" t="n">
        <x:v>17946</x:v>
      </x:c>
      <x:c r="E177" s="11" t="n">
        <x:v>17559</x:v>
      </x:c>
      <x:c r="F177" s="11" t="n">
        <x:v>3007</x:v>
      </x:c>
      <x:c r="G177" s="11" t="n">
        <x:v>2969</x:v>
      </x:c>
      <x:c r="H177" s="11" t="n">
        <x:v>116</x:v>
      </x:c>
      <x:c r="I177" s="11" t="n">
        <x:v>159</x:v>
      </x:c>
      <x:c r="J177" s="11" t="n">
        <x:v>2482959</x:v>
      </x:c>
      <x:c r="K177" s="11" t="n">
        <x:v>2433585</x:v>
      </x:c>
      <x:c r="L177" s="11" t="n">
        <x:v>127272</x:v>
      </x:c>
      <x:c r="M177" s="11" t="n">
        <x:v>129413</x:v>
      </x:c>
      <x:c r="N177" s="11" t="n">
        <x:v>75791</x:v>
      </x:c>
      <x:c r="O177" s="11" t="n">
        <x:v>16848</x:v>
      </x:c>
      <x:c r="P177" s="11" t="n">
        <x:v>81</x:v>
      </x:c>
      <x:c r="Q177" s="2"/>
      <x:c r="R177" s="2"/>
      <x:c r="S177" s="2"/>
      <x:c r="T177" s="2"/>
      <x:c r="U177" s="2"/>
    </x:row>
    <x:row r="178" ht="26" customHeight="1">
      <x:c r="A178" s="2" t="str">
        <x:v>E08000024</x:v>
      </x:c>
      <x:c r="B178" s="2" t="str">
        <x:v>State-funded secondary</x:v>
      </x:c>
      <x:c r="C178" s="2" t="str">
        <x:v>Sunderland</x:v>
      </x:c>
      <x:c r="D178" s="11" t="n">
        <x:v>15928</x:v>
      </x:c>
      <x:c r="E178" s="11" t="n">
        <x:v>15723</x:v>
      </x:c>
      <x:c r="F178" s="11" t="n">
        <x:v>4244</x:v>
      </x:c>
      <x:c r="G178" s="11" t="n">
        <x:v>4400</x:v>
      </x:c>
      <x:c r="H178" s="11" t="n">
        <x:v>688</x:v>
      </x:c>
      <x:c r="I178" s="11" t="n">
        <x:v>682</x:v>
      </x:c>
      <x:c r="J178" s="11" t="n">
        <x:v>2170462</x:v>
      </x:c>
      <x:c r="K178" s="11" t="n">
        <x:v>2140693</x:v>
      </x:c>
      <x:c r="L178" s="11" t="n">
        <x:v>196864</x:v>
      </x:c>
      <x:c r="M178" s="11" t="n">
        <x:v>205365</x:v>
      </x:c>
      <x:c r="N178" s="11" t="n">
        <x:v>76282</x:v>
      </x:c>
      <x:c r="O178" s="11" t="n">
        <x:v>82912</x:v>
      </x:c>
      <x:c r="P178" s="11" t="n">
        <x:v>18</x:v>
      </x:c>
      <x:c r="Q178" s="2"/>
      <x:c r="R178" s="2"/>
      <x:c r="S178" s="2"/>
      <x:c r="T178" s="2"/>
      <x:c r="U178" s="2"/>
    </x:row>
    <x:row r="179" ht="26" customHeight="1">
      <x:c r="A179" s="2" t="str">
        <x:v>E08000025</x:v>
      </x:c>
      <x:c r="B179" s="2" t="str">
        <x:v>State-funded primary</x:v>
      </x:c>
      <x:c r="C179" s="2" t="str">
        <x:v>Birmingham</x:v>
      </x:c>
      <x:c r="D179" s="11" t="n">
        <x:v>92042</x:v>
      </x:c>
      <x:c r="E179" s="11" t="n">
        <x:v>90390</x:v>
      </x:c>
      <x:c r="F179" s="11" t="n">
        <x:v>15456</x:v>
      </x:c>
      <x:c r="G179" s="11" t="n">
        <x:v>15072</x:v>
      </x:c>
      <x:c r="H179" s="11" t="n">
        <x:v>1148</x:v>
      </x:c>
      <x:c r="I179" s="11" t="n">
        <x:v>1215</x:v>
      </x:c>
      <x:c r="J179" s="11" t="n">
        <x:v>12863915</x:v>
      </x:c>
      <x:c r="K179" s="11" t="n">
        <x:v>12608489</x:v>
      </x:c>
      <x:c r="L179" s="11" t="n">
        <x:v>727607</x:v>
      </x:c>
      <x:c r="M179" s="11" t="n">
        <x:v>707390</x:v>
      </x:c>
      <x:c r="N179" s="11" t="n">
        <x:v>410297</x:v>
      </x:c>
      <x:c r="O179" s="11" t="n">
        <x:v>105353</x:v>
      </x:c>
      <x:c r="P179" s="11" t="n">
        <x:v>293</x:v>
      </x:c>
      <x:c r="Q179" s="2"/>
      <x:c r="R179" s="2"/>
      <x:c r="S179" s="2"/>
      <x:c r="T179" s="2"/>
      <x:c r="U179" s="2"/>
    </x:row>
    <x:row r="180" ht="26" customHeight="1">
      <x:c r="A180" s="2" t="str">
        <x:v>E08000025</x:v>
      </x:c>
      <x:c r="B180" s="2" t="str">
        <x:v>State-funded secondary</x:v>
      </x:c>
      <x:c r="C180" s="2" t="str">
        <x:v>Birmingham</x:v>
      </x:c>
      <x:c r="D180" s="11" t="n">
        <x:v>79947</x:v>
      </x:c>
      <x:c r="E180" s="11" t="n">
        <x:v>79704</x:v>
      </x:c>
      <x:c r="F180" s="11" t="n">
        <x:v>16923</x:v>
      </x:c>
      <x:c r="G180" s="11" t="n">
        <x:v>16851</x:v>
      </x:c>
      <x:c r="H180" s="11" t="n">
        <x:v>2284</x:v>
      </x:c>
      <x:c r="I180" s="11" t="n">
        <x:v>2202</x:v>
      </x:c>
      <x:c r="J180" s="11" t="n">
        <x:v>10854994</x:v>
      </x:c>
      <x:c r="K180" s="11" t="n">
        <x:v>10834275</x:v>
      </x:c>
      <x:c r="L180" s="11" t="n">
        <x:v>773496</x:v>
      </x:c>
      <x:c r="M180" s="11" t="n">
        <x:v>768187</x:v>
      </x:c>
      <x:c r="N180" s="11" t="n">
        <x:v>366658</x:v>
      </x:c>
      <x:c r="O180" s="11" t="n">
        <x:v>209655</x:v>
      </x:c>
      <x:c r="P180" s="11" t="n">
        <x:v>89</x:v>
      </x:c>
      <x:c r="Q180" s="2"/>
      <x:c r="R180" s="2"/>
      <x:c r="S180" s="2"/>
      <x:c r="T180" s="2"/>
      <x:c r="U180" s="2"/>
    </x:row>
    <x:row r="181" ht="26" customHeight="1">
      <x:c r="A181" s="2" t="str">
        <x:v>E08000026</x:v>
      </x:c>
      <x:c r="B181" s="2" t="str">
        <x:v>State-funded primary</x:v>
      </x:c>
      <x:c r="C181" s="2" t="str">
        <x:v>Coventry</x:v>
      </x:c>
      <x:c r="D181" s="11" t="n">
        <x:v>28140</x:v>
      </x:c>
      <x:c r="E181" s="11" t="n">
        <x:v>27660</x:v>
      </x:c>
      <x:c r="F181" s="11" t="n">
        <x:v>4733</x:v>
      </x:c>
      <x:c r="G181" s="11" t="n">
        <x:v>4533</x:v>
      </x:c>
      <x:c r="H181" s="11" t="n">
        <x:v>401</x:v>
      </x:c>
      <x:c r="I181" s="11" t="n">
        <x:v>398</x:v>
      </x:c>
      <x:c r="J181" s="11" t="n">
        <x:v>3909092</x:v>
      </x:c>
      <x:c r="K181" s="11" t="n">
        <x:v>3842243</x:v>
      </x:c>
      <x:c r="L181" s="11" t="n">
        <x:v>216245</x:v>
      </x:c>
      <x:c r="M181" s="11" t="n">
        <x:v>211327</x:v>
      </x:c>
      <x:c r="N181" s="11" t="n">
        <x:v>120684</x:v>
      </x:c>
      <x:c r="O181" s="11" t="n">
        <x:v>31972</x:v>
      </x:c>
      <x:c r="P181" s="11" t="n">
        <x:v>85</x:v>
      </x:c>
      <x:c r="Q181" s="2"/>
      <x:c r="R181" s="2"/>
      <x:c r="S181" s="2"/>
      <x:c r="T181" s="2"/>
      <x:c r="U181" s="2"/>
    </x:row>
    <x:row r="182" ht="26" customHeight="1">
      <x:c r="A182" s="2" t="str">
        <x:v>E08000026</x:v>
      </x:c>
      <x:c r="B182" s="2" t="str">
        <x:v>State-funded secondary</x:v>
      </x:c>
      <x:c r="C182" s="2" t="str">
        <x:v>Coventry</x:v>
      </x:c>
      <x:c r="D182" s="11" t="n">
        <x:v>22965</x:v>
      </x:c>
      <x:c r="E182" s="11" t="n">
        <x:v>23025</x:v>
      </x:c>
      <x:c r="F182" s="11" t="n">
        <x:v>5200</x:v>
      </x:c>
      <x:c r="G182" s="11" t="n">
        <x:v>5118</x:v>
      </x:c>
      <x:c r="H182" s="11" t="n">
        <x:v>921</x:v>
      </x:c>
      <x:c r="I182" s="11" t="n">
        <x:v>901</x:v>
      </x:c>
      <x:c r="J182" s="11" t="n">
        <x:v>3146417</x:v>
      </x:c>
      <x:c r="K182" s="11" t="n">
        <x:v>3146761</x:v>
      </x:c>
      <x:c r="L182" s="11" t="n">
        <x:v>259100</x:v>
      </x:c>
      <x:c r="M182" s="11" t="n">
        <x:v>251702</x:v>
      </x:c>
      <x:c r="N182" s="11" t="n">
        <x:v>111891</x:v>
      </x:c>
      <x:c r="O182" s="11" t="n">
        <x:v>80466</x:v>
      </x:c>
      <x:c r="P182" s="11" t="n">
        <x:v>22</x:v>
      </x:c>
      <x:c r="Q182" s="2"/>
      <x:c r="R182" s="2"/>
      <x:c r="S182" s="2"/>
      <x:c r="T182" s="2"/>
      <x:c r="U182" s="2"/>
    </x:row>
    <x:row r="183" ht="26" customHeight="1">
      <x:c r="A183" s="2" t="str">
        <x:v>E08000027</x:v>
      </x:c>
      <x:c r="B183" s="2" t="str">
        <x:v>State-funded primary</x:v>
      </x:c>
      <x:c r="C183" s="2" t="str">
        <x:v>Dudley</x:v>
      </x:c>
      <x:c r="D183" s="11" t="n">
        <x:v>23122</x:v>
      </x:c>
      <x:c r="E183" s="11" t="n">
        <x:v>22720</x:v>
      </x:c>
      <x:c r="F183" s="11" t="n">
        <x:v>3959</x:v>
      </x:c>
      <x:c r="G183" s="11" t="n">
        <x:v>3473</x:v>
      </x:c>
      <x:c r="H183" s="11" t="n">
        <x:v>288</x:v>
      </x:c>
      <x:c r="I183" s="11" t="n">
        <x:v>294</x:v>
      </x:c>
      <x:c r="J183" s="11" t="n">
        <x:v>3261258</x:v>
      </x:c>
      <x:c r="K183" s="11" t="n">
        <x:v>3205263</x:v>
      </x:c>
      <x:c r="L183" s="11" t="n">
        <x:v>187017</x:v>
      </x:c>
      <x:c r="M183" s="11" t="n">
        <x:v>171539</x:v>
      </x:c>
      <x:c r="N183" s="11" t="n">
        <x:v>96205</x:v>
      </x:c>
      <x:c r="O183" s="11" t="n">
        <x:v>26663</x:v>
      </x:c>
      <x:c r="P183" s="11" t="n">
        <x:v>78</x:v>
      </x:c>
      <x:c r="Q183" s="2"/>
      <x:c r="R183" s="2"/>
      <x:c r="S183" s="2"/>
      <x:c r="T183" s="2"/>
      <x:c r="U183" s="2"/>
    </x:row>
    <x:row r="184" ht="26" customHeight="1">
      <x:c r="A184" s="2" t="str">
        <x:v>E08000027</x:v>
      </x:c>
      <x:c r="B184" s="2" t="str">
        <x:v>State-funded secondary</x:v>
      </x:c>
      <x:c r="C184" s="2" t="str">
        <x:v>Dudley</x:v>
      </x:c>
      <x:c r="D184" s="11" t="n">
        <x:v>18347</x:v>
      </x:c>
      <x:c r="E184" s="11" t="n">
        <x:v>18439</x:v>
      </x:c>
      <x:c r="F184" s="11" t="n">
        <x:v>4578</x:v>
      </x:c>
      <x:c r="G184" s="11" t="n">
        <x:v>4354</x:v>
      </x:c>
      <x:c r="H184" s="11" t="n">
        <x:v>658</x:v>
      </x:c>
      <x:c r="I184" s="11" t="n">
        <x:v>628</x:v>
      </x:c>
      <x:c r="J184" s="11" t="n">
        <x:v>2522774</x:v>
      </x:c>
      <x:c r="K184" s="11" t="n">
        <x:v>2543050</x:v>
      </x:c>
      <x:c r="L184" s="11" t="n">
        <x:v>206077</x:v>
      </x:c>
      <x:c r="M184" s="11" t="n">
        <x:v>202987</x:v>
      </x:c>
      <x:c r="N184" s="11" t="n">
        <x:v>91672</x:v>
      </x:c>
      <x:c r="O184" s="11" t="n">
        <x:v>59409</x:v>
      </x:c>
      <x:c r="P184" s="11" t="n">
        <x:v>19</x:v>
      </x:c>
      <x:c r="Q184" s="2"/>
      <x:c r="R184" s="2"/>
      <x:c r="S184" s="2"/>
      <x:c r="T184" s="2"/>
      <x:c r="U184" s="2"/>
    </x:row>
    <x:row r="185" ht="26" customHeight="1">
      <x:c r="A185" s="2" t="str">
        <x:v>E08000028</x:v>
      </x:c>
      <x:c r="B185" s="2" t="str">
        <x:v>State-funded primary</x:v>
      </x:c>
      <x:c r="C185" s="2" t="str">
        <x:v>Sandwell</x:v>
      </x:c>
      <x:c r="D185" s="11" t="n">
        <x:v>29461</x:v>
      </x:c>
      <x:c r="E185" s="11" t="n">
        <x:v>29111</x:v>
      </x:c>
      <x:c r="F185" s="11" t="n">
        <x:v>4972</x:v>
      </x:c>
      <x:c r="G185" s="11" t="n">
        <x:v>4500</x:v>
      </x:c>
      <x:c r="H185" s="11" t="n">
        <x:v>288</x:v>
      </x:c>
      <x:c r="I185" s="11" t="n">
        <x:v>327</x:v>
      </x:c>
      <x:c r="J185" s="11" t="n">
        <x:v>4138830</x:v>
      </x:c>
      <x:c r="K185" s="11" t="n">
        <x:v>4087353</x:v>
      </x:c>
      <x:c r="L185" s="11" t="n">
        <x:v>228763</x:v>
      </x:c>
      <x:c r="M185" s="11" t="n">
        <x:v>215759</x:v>
      </x:c>
      <x:c r="N185" s="11" t="n">
        <x:v>121016</x:v>
      </x:c>
      <x:c r="O185" s="11" t="n">
        <x:v>45555</x:v>
      </x:c>
      <x:c r="P185" s="11" t="n">
        <x:v>93</x:v>
      </x:c>
      <x:c r="Q185" s="2"/>
      <x:c r="R185" s="2"/>
      <x:c r="S185" s="2"/>
      <x:c r="T185" s="2"/>
      <x:c r="U185" s="2"/>
    </x:row>
    <x:row r="186" ht="26" customHeight="1">
      <x:c r="A186" s="2" t="str">
        <x:v>E08000028</x:v>
      </x:c>
      <x:c r="B186" s="2" t="str">
        <x:v>State-funded secondary</x:v>
      </x:c>
      <x:c r="C186" s="2" t="str">
        <x:v>Sandwell</x:v>
      </x:c>
      <x:c r="D186" s="11" t="n">
        <x:v>24294</x:v>
      </x:c>
      <x:c r="E186" s="11" t="n">
        <x:v>24043</x:v>
      </x:c>
      <x:c r="F186" s="11" t="n">
        <x:v>5593</x:v>
      </x:c>
      <x:c r="G186" s="11" t="n">
        <x:v>5218</x:v>
      </x:c>
      <x:c r="H186" s="11" t="n">
        <x:v>740</x:v>
      </x:c>
      <x:c r="I186" s="11" t="n">
        <x:v>627</x:v>
      </x:c>
      <x:c r="J186" s="11" t="n">
        <x:v>3262926</x:v>
      </x:c>
      <x:c r="K186" s="11" t="n">
        <x:v>3257723</x:v>
      </x:c>
      <x:c r="L186" s="11" t="n">
        <x:v>246155</x:v>
      </x:c>
      <x:c r="M186" s="11" t="n">
        <x:v>238712</x:v>
      </x:c>
      <x:c r="N186" s="11" t="n">
        <x:v>103394</x:v>
      </x:c>
      <x:c r="O186" s="11" t="n">
        <x:v>81934</x:v>
      </x:c>
      <x:c r="P186" s="11" t="n">
        <x:v>22</x:v>
      </x:c>
      <x:c r="Q186" s="2"/>
      <x:c r="R186" s="2"/>
      <x:c r="S186" s="2"/>
      <x:c r="T186" s="2"/>
      <x:c r="U186" s="2"/>
    </x:row>
    <x:row r="187" ht="26" customHeight="1">
      <x:c r="A187" s="2" t="str">
        <x:v>E08000029</x:v>
      </x:c>
      <x:c r="B187" s="2" t="str">
        <x:v>State-funded primary</x:v>
      </x:c>
      <x:c r="C187" s="2" t="str">
        <x:v>Solihull</x:v>
      </x:c>
      <x:c r="D187" s="11" t="n">
        <x:v>16310</x:v>
      </x:c>
      <x:c r="E187" s="11" t="n">
        <x:v>16305</x:v>
      </x:c>
      <x:c r="F187" s="11" t="n">
        <x:v>2267</x:v>
      </x:c>
      <x:c r="G187" s="11" t="n">
        <x:v>2236</x:v>
      </x:c>
      <x:c r="H187" s="11" t="n">
        <x:v>158</x:v>
      </x:c>
      <x:c r="I187" s="11" t="n">
        <x:v>151</x:v>
      </x:c>
      <x:c r="J187" s="11" t="n">
        <x:v>2319436</x:v>
      </x:c>
      <x:c r="K187" s="11" t="n">
        <x:v>2325998</x:v>
      </x:c>
      <x:c r="L187" s="11" t="n">
        <x:v>119332</x:v>
      </x:c>
      <x:c r="M187" s="11" t="n">
        <x:v>117779</x:v>
      </x:c>
      <x:c r="N187" s="11" t="n">
        <x:v>71852</x:v>
      </x:c>
      <x:c r="O187" s="11" t="n">
        <x:v>13623</x:v>
      </x:c>
      <x:c r="P187" s="11" t="n">
        <x:v>59</x:v>
      </x:c>
      <x:c r="Q187" s="2"/>
      <x:c r="R187" s="2"/>
      <x:c r="S187" s="2"/>
      <x:c r="T187" s="2"/>
      <x:c r="U187" s="2"/>
    </x:row>
    <x:row r="188" ht="26" customHeight="1">
      <x:c r="A188" s="2" t="str">
        <x:v>E08000029</x:v>
      </x:c>
      <x:c r="B188" s="2" t="str">
        <x:v>State-funded secondary</x:v>
      </x:c>
      <x:c r="C188" s="2" t="str">
        <x:v>Solihull</x:v>
      </x:c>
      <x:c r="D188" s="11" t="n">
        <x:v>16193</x:v>
      </x:c>
      <x:c r="E188" s="11" t="n">
        <x:v>16052</x:v>
      </x:c>
      <x:c r="F188" s="11" t="n">
        <x:v>3476</x:v>
      </x:c>
      <x:c r="G188" s="11" t="n">
        <x:v>3516</x:v>
      </x:c>
      <x:c r="H188" s="11" t="n">
        <x:v>480</x:v>
      </x:c>
      <x:c r="I188" s="11" t="n">
        <x:v>514</x:v>
      </x:c>
      <x:c r="J188" s="11" t="n">
        <x:v>2245305</x:v>
      </x:c>
      <x:c r="K188" s="11" t="n">
        <x:v>2197796</x:v>
      </x:c>
      <x:c r="L188" s="11" t="n">
        <x:v>174211</x:v>
      </x:c>
      <x:c r="M188" s="11" t="n">
        <x:v>172217</x:v>
      </x:c>
      <x:c r="N188" s="11" t="n">
        <x:v>92130</x:v>
      </x:c>
      <x:c r="O188" s="11" t="n">
        <x:v>45291</x:v>
      </x:c>
      <x:c r="P188" s="11" t="n">
        <x:v>15</x:v>
      </x:c>
      <x:c r="Q188" s="2"/>
      <x:c r="R188" s="2"/>
      <x:c r="S188" s="2"/>
      <x:c r="T188" s="2"/>
      <x:c r="U188" s="2"/>
    </x:row>
    <x:row r="189" ht="26" customHeight="1">
      <x:c r="A189" s="2" t="str">
        <x:v>E08000030</x:v>
      </x:c>
      <x:c r="B189" s="2" t="str">
        <x:v>State-funded primary</x:v>
      </x:c>
      <x:c r="C189" s="2" t="str">
        <x:v>Walsall</x:v>
      </x:c>
      <x:c r="D189" s="11" t="n">
        <x:v>23429</x:v>
      </x:c>
      <x:c r="E189" s="11" t="n">
        <x:v>23039</x:v>
      </x:c>
      <x:c r="F189" s="11" t="n">
        <x:v>4111</x:v>
      </x:c>
      <x:c r="G189" s="11" t="n">
        <x:v>3641</x:v>
      </x:c>
      <x:c r="H189" s="11" t="n">
        <x:v>278</x:v>
      </x:c>
      <x:c r="I189" s="11" t="n">
        <x:v>264</x:v>
      </x:c>
      <x:c r="J189" s="11" t="n">
        <x:v>3302460</x:v>
      </x:c>
      <x:c r="K189" s="11" t="n">
        <x:v>3242012</x:v>
      </x:c>
      <x:c r="L189" s="11" t="n">
        <x:v>193439</x:v>
      </x:c>
      <x:c r="M189" s="11" t="n">
        <x:v>175885</x:v>
      </x:c>
      <x:c r="N189" s="11" t="n">
        <x:v>87210</x:v>
      </x:c>
      <x:c r="O189" s="11" t="n">
        <x:v>40372</x:v>
      </x:c>
      <x:c r="P189" s="11" t="n">
        <x:v>85</x:v>
      </x:c>
      <x:c r="Q189" s="2"/>
      <x:c r="R189" s="2"/>
      <x:c r="S189" s="2"/>
      <x:c r="T189" s="2"/>
      <x:c r="U189" s="2"/>
    </x:row>
    <x:row r="190" ht="26" customHeight="1">
      <x:c r="A190" s="2" t="str">
        <x:v>E08000030</x:v>
      </x:c>
      <x:c r="B190" s="2" t="str">
        <x:v>State-funded secondary</x:v>
      </x:c>
      <x:c r="C190" s="2" t="str">
        <x:v>Walsall</x:v>
      </x:c>
      <x:c r="D190" s="11" t="n">
        <x:v>20160</x:v>
      </x:c>
      <x:c r="E190" s="11" t="n">
        <x:v>20324</x:v>
      </x:c>
      <x:c r="F190" s="11" t="n">
        <x:v>4924</x:v>
      </x:c>
      <x:c r="G190" s="11" t="n">
        <x:v>4894</x:v>
      </x:c>
      <x:c r="H190" s="11" t="n">
        <x:v>699</x:v>
      </x:c>
      <x:c r="I190" s="11" t="n">
        <x:v>771</x:v>
      </x:c>
      <x:c r="J190" s="11" t="n">
        <x:v>2778776</x:v>
      </x:c>
      <x:c r="K190" s="11" t="n">
        <x:v>2771505</x:v>
      </x:c>
      <x:c r="L190" s="11" t="n">
        <x:v>234712</x:v>
      </x:c>
      <x:c r="M190" s="11" t="n">
        <x:v>229350</x:v>
      </x:c>
      <x:c r="N190" s="11" t="n">
        <x:v>85880</x:v>
      </x:c>
      <x:c r="O190" s="11" t="n">
        <x:v>93275</x:v>
      </x:c>
      <x:c r="P190" s="11" t="n">
        <x:v>19</x:v>
      </x:c>
      <x:c r="Q190" s="2"/>
      <x:c r="R190" s="2"/>
      <x:c r="S190" s="2"/>
      <x:c r="T190" s="2"/>
      <x:c r="U190" s="2"/>
    </x:row>
    <x:row r="191" ht="26" customHeight="1">
      <x:c r="A191" s="2" t="str">
        <x:v>E08000031</x:v>
      </x:c>
      <x:c r="B191" s="2" t="str">
        <x:v>State-funded primary</x:v>
      </x:c>
      <x:c r="C191" s="2" t="str">
        <x:v>Wolverhampton</x:v>
      </x:c>
      <x:c r="D191" s="11" t="n">
        <x:v>21762</x:v>
      </x:c>
      <x:c r="E191" s="11" t="n">
        <x:v>21464</x:v>
      </x:c>
      <x:c r="F191" s="11" t="n">
        <x:v>3464</x:v>
      </x:c>
      <x:c r="G191" s="11" t="n">
        <x:v>3399</x:v>
      </x:c>
      <x:c r="H191" s="11" t="n">
        <x:v>190</x:v>
      </x:c>
      <x:c r="I191" s="11" t="n">
        <x:v>251</x:v>
      </x:c>
      <x:c r="J191" s="11" t="n">
        <x:v>3042260</x:v>
      </x:c>
      <x:c r="K191" s="11" t="n">
        <x:v>2991506</x:v>
      </x:c>
      <x:c r="L191" s="11" t="n">
        <x:v>164385</x:v>
      </x:c>
      <x:c r="M191" s="11" t="n">
        <x:v>161752</x:v>
      </x:c>
      <x:c r="N191" s="11" t="n">
        <x:v>84396</x:v>
      </x:c>
      <x:c r="O191" s="11" t="n">
        <x:v>32731</x:v>
      </x:c>
      <x:c r="P191" s="11" t="n">
        <x:v>72</x:v>
      </x:c>
      <x:c r="Q191" s="2"/>
      <x:c r="R191" s="2"/>
      <x:c r="S191" s="2"/>
      <x:c r="T191" s="2"/>
      <x:c r="U191" s="2"/>
    </x:row>
    <x:row r="192" ht="26" customHeight="1">
      <x:c r="A192" s="2" t="str">
        <x:v>E08000031</x:v>
      </x:c>
      <x:c r="B192" s="2" t="str">
        <x:v>State-funded secondary</x:v>
      </x:c>
      <x:c r="C192" s="2" t="str">
        <x:v>Wolverhampton</x:v>
      </x:c>
      <x:c r="D192" s="11" t="n">
        <x:v>19064</x:v>
      </x:c>
      <x:c r="E192" s="11" t="n">
        <x:v>19307</x:v>
      </x:c>
      <x:c r="F192" s="11" t="n">
        <x:v>3921</x:v>
      </x:c>
      <x:c r="G192" s="11" t="n">
        <x:v>3930</x:v>
      </x:c>
      <x:c r="H192" s="11" t="n">
        <x:v>435</x:v>
      </x:c>
      <x:c r="I192" s="11" t="n">
        <x:v>481</x:v>
      </x:c>
      <x:c r="J192" s="11" t="n">
        <x:v>2601343</x:v>
      </x:c>
      <x:c r="K192" s="11" t="n">
        <x:v>2614172</x:v>
      </x:c>
      <x:c r="L192" s="11" t="n">
        <x:v>181294</x:v>
      </x:c>
      <x:c r="M192" s="11" t="n">
        <x:v>184838</x:v>
      </x:c>
      <x:c r="N192" s="11" t="n">
        <x:v>70905</x:v>
      </x:c>
      <x:c r="O192" s="11" t="n">
        <x:v>68851</x:v>
      </x:c>
      <x:c r="P192" s="11" t="n">
        <x:v>20</x:v>
      </x:c>
      <x:c r="Q192" s="2"/>
      <x:c r="R192" s="2"/>
      <x:c r="S192" s="2"/>
      <x:c r="T192" s="2"/>
      <x:c r="U192" s="2"/>
    </x:row>
    <x:row r="193" ht="26" customHeight="1">
      <x:c r="A193" s="2" t="str">
        <x:v>E08000032</x:v>
      </x:c>
      <x:c r="B193" s="2" t="str">
        <x:v>State-funded primary</x:v>
      </x:c>
      <x:c r="C193" s="2" t="str">
        <x:v>Bradford</x:v>
      </x:c>
      <x:c r="D193" s="11" t="n">
        <x:v>45326</x:v>
      </x:c>
      <x:c r="E193" s="11" t="n">
        <x:v>43914</x:v>
      </x:c>
      <x:c r="F193" s="11" t="n">
        <x:v>7157</x:v>
      </x:c>
      <x:c r="G193" s="11" t="n">
        <x:v>7975</x:v>
      </x:c>
      <x:c r="H193" s="11" t="n">
        <x:v>466</x:v>
      </x:c>
      <x:c r="I193" s="11" t="n">
        <x:v>505</x:v>
      </x:c>
      <x:c r="J193" s="11" t="n">
        <x:v>6426170</x:v>
      </x:c>
      <x:c r="K193" s="11" t="n">
        <x:v>6207573</x:v>
      </x:c>
      <x:c r="L193" s="11" t="n">
        <x:v>342106</x:v>
      </x:c>
      <x:c r="M193" s="11" t="n">
        <x:v>365378</x:v>
      </x:c>
      <x:c r="N193" s="11" t="n">
        <x:v>200922</x:v>
      </x:c>
      <x:c r="O193" s="11" t="n">
        <x:v>55518</x:v>
      </x:c>
      <x:c r="P193" s="11" t="n">
        <x:v>157</x:v>
      </x:c>
      <x:c r="Q193" s="2"/>
      <x:c r="R193" s="2"/>
      <x:c r="S193" s="2"/>
      <x:c r="T193" s="2"/>
      <x:c r="U193" s="2"/>
    </x:row>
    <x:row r="194" ht="26" customHeight="1">
      <x:c r="A194" s="2" t="str">
        <x:v>E08000032</x:v>
      </x:c>
      <x:c r="B194" s="2" t="str">
        <x:v>State-funded secondary</x:v>
      </x:c>
      <x:c r="C194" s="2" t="str">
        <x:v>Bradford</x:v>
      </x:c>
      <x:c r="D194" s="11" t="n">
        <x:v>37732</x:v>
      </x:c>
      <x:c r="E194" s="11" t="n">
        <x:v>37081</x:v>
      </x:c>
      <x:c r="F194" s="11" t="n">
        <x:v>9906</x:v>
      </x:c>
      <x:c r="G194" s="11" t="n">
        <x:v>10323</x:v>
      </x:c>
      <x:c r="H194" s="11" t="n">
        <x:v>1851</x:v>
      </x:c>
      <x:c r="I194" s="11" t="n">
        <x:v>1829</x:v>
      </x:c>
      <x:c r="J194" s="11" t="n">
        <x:v>5167964</x:v>
      </x:c>
      <x:c r="K194" s="11" t="n">
        <x:v>5036881</x:v>
      </x:c>
      <x:c r="L194" s="11" t="n">
        <x:v>492059</x:v>
      </x:c>
      <x:c r="M194" s="11" t="n">
        <x:v>496230</x:v>
      </x:c>
      <x:c r="N194" s="11" t="n">
        <x:v>179712</x:v>
      </x:c>
      <x:c r="O194" s="11" t="n">
        <x:v>187086</x:v>
      </x:c>
      <x:c r="P194" s="11" t="n">
        <x:v>35</x:v>
      </x:c>
      <x:c r="Q194" s="2"/>
      <x:c r="R194" s="2"/>
      <x:c r="S194" s="2"/>
      <x:c r="T194" s="2"/>
      <x:c r="U194" s="2"/>
    </x:row>
    <x:row r="195" ht="26" customHeight="1">
      <x:c r="A195" s="2" t="str">
        <x:v>E08000033</x:v>
      </x:c>
      <x:c r="B195" s="2" t="str">
        <x:v>State-funded primary</x:v>
      </x:c>
      <x:c r="C195" s="2" t="str">
        <x:v>Calderdale</x:v>
      </x:c>
      <x:c r="D195" s="11" t="n">
        <x:v>14840</x:v>
      </x:c>
      <x:c r="E195" s="11" t="n">
        <x:v>14379</x:v>
      </x:c>
      <x:c r="F195" s="11" t="n">
        <x:v>2020</x:v>
      </x:c>
      <x:c r="G195" s="11" t="n">
        <x:v>2069</x:v>
      </x:c>
      <x:c r="H195" s="11" t="n">
        <x:v>73</x:v>
      </x:c>
      <x:c r="I195" s="11" t="n">
        <x:v>91</x:v>
      </x:c>
      <x:c r="J195" s="11" t="n">
        <x:v>2109595</x:v>
      </x:c>
      <x:c r="K195" s="11" t="n">
        <x:v>2046215</x:v>
      </x:c>
      <x:c r="L195" s="11" t="n">
        <x:v>101287</x:v>
      </x:c>
      <x:c r="M195" s="11" t="n">
        <x:v>105060</x:v>
      </x:c>
      <x:c r="N195" s="11" t="n">
        <x:v>65653</x:v>
      </x:c>
      <x:c r="O195" s="11" t="n">
        <x:v>8628</x:v>
      </x:c>
      <x:c r="P195" s="11" t="n">
        <x:v>82</x:v>
      </x:c>
      <x:c r="Q195" s="2"/>
      <x:c r="R195" s="2"/>
      <x:c r="S195" s="2"/>
      <x:c r="T195" s="2"/>
      <x:c r="U195" s="2"/>
    </x:row>
    <x:row r="196" ht="26" customHeight="1">
      <x:c r="A196" s="2" t="str">
        <x:v>E08000033</x:v>
      </x:c>
      <x:c r="B196" s="2" t="str">
        <x:v>State-funded secondary</x:v>
      </x:c>
      <x:c r="C196" s="2" t="str">
        <x:v>Calderdale</x:v>
      </x:c>
      <x:c r="D196" s="11" t="n">
        <x:v>15067</x:v>
      </x:c>
      <x:c r="E196" s="11" t="n">
        <x:v>15004</x:v>
      </x:c>
      <x:c r="F196" s="11" t="n">
        <x:v>3008</x:v>
      </x:c>
      <x:c r="G196" s="11" t="n">
        <x:v>3065</x:v>
      </x:c>
      <x:c r="H196" s="11" t="n">
        <x:v>390</x:v>
      </x:c>
      <x:c r="I196" s="11" t="n">
        <x:v>422</x:v>
      </x:c>
      <x:c r="J196" s="11" t="n">
        <x:v>2062698</x:v>
      </x:c>
      <x:c r="K196" s="11" t="n">
        <x:v>2037437</x:v>
      </x:c>
      <x:c r="L196" s="11" t="n">
        <x:v>144914</x:v>
      </x:c>
      <x:c r="M196" s="11" t="n">
        <x:v>147242</x:v>
      </x:c>
      <x:c r="N196" s="11" t="n">
        <x:v>78490</x:v>
      </x:c>
      <x:c r="O196" s="11" t="n">
        <x:v>38060</x:v>
      </x:c>
      <x:c r="P196" s="11" t="n">
        <x:v>13</x:v>
      </x:c>
      <x:c r="Q196" s="2"/>
      <x:c r="R196" s="2"/>
      <x:c r="S196" s="2"/>
      <x:c r="T196" s="2"/>
      <x:c r="U196" s="2"/>
    </x:row>
    <x:row r="197" ht="26" customHeight="1">
      <x:c r="A197" s="2" t="str">
        <x:v>E08000034</x:v>
      </x:c>
      <x:c r="B197" s="2" t="str">
        <x:v>State-funded primary</x:v>
      </x:c>
      <x:c r="C197" s="2" t="str">
        <x:v>Kirklees</x:v>
      </x:c>
      <x:c r="D197" s="11" t="n">
        <x:v>31161</x:v>
      </x:c>
      <x:c r="E197" s="11" t="n">
        <x:v>30478</x:v>
      </x:c>
      <x:c r="F197" s="11" t="n">
        <x:v>4275</x:v>
      </x:c>
      <x:c r="G197" s="11" t="n">
        <x:v>4278</x:v>
      </x:c>
      <x:c r="H197" s="11" t="n">
        <x:v>264</x:v>
      </x:c>
      <x:c r="I197" s="11" t="n">
        <x:v>293</x:v>
      </x:c>
      <x:c r="J197" s="11" t="n">
        <x:v>4445499</x:v>
      </x:c>
      <x:c r="K197" s="11" t="n">
        <x:v>4345356</x:v>
      </x:c>
      <x:c r="L197" s="11" t="n">
        <x:v>219279</x:v>
      </x:c>
      <x:c r="M197" s="11" t="n">
        <x:v>221329</x:v>
      </x:c>
      <x:c r="N197" s="11" t="n">
        <x:v>131010</x:v>
      </x:c>
      <x:c r="O197" s="11" t="n">
        <x:v>24367</x:v>
      </x:c>
      <x:c r="P197" s="11" t="n">
        <x:v>144</x:v>
      </x:c>
      <x:c r="Q197" s="2"/>
      <x:c r="R197" s="2"/>
      <x:c r="S197" s="2"/>
      <x:c r="T197" s="2"/>
      <x:c r="U197" s="2"/>
    </x:row>
    <x:row r="198" ht="26" customHeight="1">
      <x:c r="A198" s="2" t="str">
        <x:v>E08000034</x:v>
      </x:c>
      <x:c r="B198" s="2" t="str">
        <x:v>State-funded secondary</x:v>
      </x:c>
      <x:c r="C198" s="2" t="str">
        <x:v>Kirklees</x:v>
      </x:c>
      <x:c r="D198" s="11" t="n">
        <x:v>27547</x:v>
      </x:c>
      <x:c r="E198" s="11" t="n">
        <x:v>27316</x:v>
      </x:c>
      <x:c r="F198" s="11" t="n">
        <x:v>5091</x:v>
      </x:c>
      <x:c r="G198" s="11" t="n">
        <x:v>5208</x:v>
      </x:c>
      <x:c r="H198" s="11" t="n">
        <x:v>796</x:v>
      </x:c>
      <x:c r="I198" s="11" t="n">
        <x:v>784</x:v>
      </x:c>
      <x:c r="J198" s="11" t="n">
        <x:v>3869274</x:v>
      </x:c>
      <x:c r="K198" s="11" t="n">
        <x:v>3836428</x:v>
      </x:c>
      <x:c r="L198" s="11" t="n">
        <x:v>265257</x:v>
      </x:c>
      <x:c r="M198" s="11" t="n">
        <x:v>274479</x:v>
      </x:c>
      <x:c r="N198" s="11" t="n">
        <x:v>139990</x:v>
      </x:c>
      <x:c r="O198" s="11" t="n">
        <x:v>77928</x:v>
      </x:c>
      <x:c r="P198" s="11" t="n">
        <x:v>27</x:v>
      </x:c>
      <x:c r="Q198" s="2"/>
      <x:c r="R198" s="2"/>
      <x:c r="S198" s="2"/>
      <x:c r="T198" s="2"/>
      <x:c r="U198" s="2"/>
    </x:row>
    <x:row r="199" ht="26" customHeight="1">
      <x:c r="A199" s="2" t="str">
        <x:v>E08000035</x:v>
      </x:c>
      <x:c r="B199" s="2" t="str">
        <x:v>State-funded primary</x:v>
      </x:c>
      <x:c r="C199" s="2" t="str">
        <x:v>Leeds</x:v>
      </x:c>
      <x:c r="D199" s="11" t="n">
        <x:v>59438</x:v>
      </x:c>
      <x:c r="E199" s="11" t="n">
        <x:v>58461</x:v>
      </x:c>
      <x:c r="F199" s="11" t="n">
        <x:v>8805</x:v>
      </x:c>
      <x:c r="G199" s="11" t="n">
        <x:v>9480</x:v>
      </x:c>
      <x:c r="H199" s="11" t="n">
        <x:v>577</x:v>
      </x:c>
      <x:c r="I199" s="11" t="n">
        <x:v>764</x:v>
      </x:c>
      <x:c r="J199" s="11" t="n">
        <x:v>8418056</x:v>
      </x:c>
      <x:c r="K199" s="11" t="n">
        <x:v>8246470</x:v>
      </x:c>
      <x:c r="L199" s="11" t="n">
        <x:v>425732</x:v>
      </x:c>
      <x:c r="M199" s="11" t="n">
        <x:v>449624</x:v>
      </x:c>
      <x:c r="N199" s="11" t="n">
        <x:v>234197</x:v>
      </x:c>
      <x:c r="O199" s="11" t="n">
        <x:v>76583</x:v>
      </x:c>
      <x:c r="P199" s="11" t="n">
        <x:v>222</x:v>
      </x:c>
      <x:c r="Q199" s="2"/>
      <x:c r="R199" s="2"/>
      <x:c r="S199" s="2"/>
      <x:c r="T199" s="2"/>
      <x:c r="U199" s="2"/>
    </x:row>
    <x:row r="200" ht="26" customHeight="1">
      <x:c r="A200" s="2" t="str">
        <x:v>E08000035</x:v>
      </x:c>
      <x:c r="B200" s="2" t="str">
        <x:v>State-funded secondary</x:v>
      </x:c>
      <x:c r="C200" s="2" t="str">
        <x:v>Leeds</x:v>
      </x:c>
      <x:c r="D200" s="11" t="n">
        <x:v>51473</x:v>
      </x:c>
      <x:c r="E200" s="11" t="n">
        <x:v>51612</x:v>
      </x:c>
      <x:c r="F200" s="11" t="n">
        <x:v>10906</x:v>
      </x:c>
      <x:c r="G200" s="11" t="n">
        <x:v>11289</x:v>
      </x:c>
      <x:c r="H200" s="11" t="n">
        <x:v>2133</x:v>
      </x:c>
      <x:c r="I200" s="11" t="n">
        <x:v>2114</x:v>
      </x:c>
      <x:c r="J200" s="11" t="n">
        <x:v>7148780</x:v>
      </x:c>
      <x:c r="K200" s="11" t="n">
        <x:v>7154552</x:v>
      </x:c>
      <x:c r="L200" s="11" t="n">
        <x:v>567137</x:v>
      </x:c>
      <x:c r="M200" s="11" t="n">
        <x:v>586036</x:v>
      </x:c>
      <x:c r="N200" s="11" t="n">
        <x:v>219247</x:v>
      </x:c>
      <x:c r="O200" s="11" t="n">
        <x:v>235346</x:v>
      </x:c>
      <x:c r="P200" s="11" t="n">
        <x:v>45</x:v>
      </x:c>
      <x:c r="Q200" s="2"/>
      <x:c r="R200" s="2"/>
      <x:c r="S200" s="2"/>
      <x:c r="T200" s="2"/>
      <x:c r="U200" s="2"/>
    </x:row>
    <x:row r="201" ht="26" customHeight="1">
      <x:c r="A201" s="2" t="str">
        <x:v>E08000036</x:v>
      </x:c>
      <x:c r="B201" s="2" t="str">
        <x:v>State-funded primary</x:v>
      </x:c>
      <x:c r="C201" s="2" t="str">
        <x:v>Wakefield</x:v>
      </x:c>
      <x:c r="D201" s="11" t="n">
        <x:v>25661</x:v>
      </x:c>
      <x:c r="E201" s="11" t="n">
        <x:v>25323</x:v>
      </x:c>
      <x:c r="F201" s="11" t="n">
        <x:v>3956</x:v>
      </x:c>
      <x:c r="G201" s="11" t="n">
        <x:v>3874</x:v>
      </x:c>
      <x:c r="H201" s="11" t="n">
        <x:v>266</x:v>
      </x:c>
      <x:c r="I201" s="11" t="n">
        <x:v>270</x:v>
      </x:c>
      <x:c r="J201" s="11" t="n">
        <x:v>3651173</x:v>
      </x:c>
      <x:c r="K201" s="11" t="n">
        <x:v>3599956</x:v>
      </x:c>
      <x:c r="L201" s="11" t="n">
        <x:v>191875</x:v>
      </x:c>
      <x:c r="M201" s="11" t="n">
        <x:v>191033</x:v>
      </x:c>
      <x:c r="N201" s="11" t="n">
        <x:v>107938</x:v>
      </x:c>
      <x:c r="O201" s="11" t="n">
        <x:v>18143</x:v>
      </x:c>
      <x:c r="P201" s="11" t="n">
        <x:v>113</x:v>
      </x:c>
      <x:c r="Q201" s="2"/>
      <x:c r="R201" s="2"/>
      <x:c r="S201" s="2"/>
      <x:c r="T201" s="2"/>
      <x:c r="U201" s="2"/>
    </x:row>
    <x:row r="202" ht="26" customHeight="1">
      <x:c r="A202" s="2" t="str">
        <x:v>E08000036</x:v>
      </x:c>
      <x:c r="B202" s="2" t="str">
        <x:v>State-funded secondary</x:v>
      </x:c>
      <x:c r="C202" s="2" t="str">
        <x:v>Wakefield</x:v>
      </x:c>
      <x:c r="D202" s="11" t="n">
        <x:v>21021</x:v>
      </x:c>
      <x:c r="E202" s="11" t="n">
        <x:v>21092</x:v>
      </x:c>
      <x:c r="F202" s="11" t="n">
        <x:v>5046</x:v>
      </x:c>
      <x:c r="G202" s="11" t="n">
        <x:v>5017</x:v>
      </x:c>
      <x:c r="H202" s="11" t="n">
        <x:v>900</x:v>
      </x:c>
      <x:c r="I202" s="11" t="n">
        <x:v>960</x:v>
      </x:c>
      <x:c r="J202" s="11" t="n">
        <x:v>2936387</x:v>
      </x:c>
      <x:c r="K202" s="11" t="n">
        <x:v>2884702</x:v>
      </x:c>
      <x:c r="L202" s="11" t="n">
        <x:v>257114</x:v>
      </x:c>
      <x:c r="M202" s="11" t="n">
        <x:v>256595</x:v>
      </x:c>
      <x:c r="N202" s="11" t="n">
        <x:v>104406</x:v>
      </x:c>
      <x:c r="O202" s="11" t="n">
        <x:v>90358</x:v>
      </x:c>
      <x:c r="P202" s="11" t="n">
        <x:v>18</x:v>
      </x:c>
      <x:c r="Q202" s="2"/>
      <x:c r="R202" s="2"/>
      <x:c r="S202" s="2"/>
      <x:c r="T202" s="2"/>
      <x:c r="U202" s="2"/>
    </x:row>
    <x:row r="203" ht="26" customHeight="1">
      <x:c r="A203" s="2" t="str">
        <x:v>E08000037</x:v>
      </x:c>
      <x:c r="B203" s="2" t="str">
        <x:v>State-funded primary</x:v>
      </x:c>
      <x:c r="C203" s="2" t="str">
        <x:v>Gateshead</x:v>
      </x:c>
      <x:c r="D203" s="11" t="n">
        <x:v>12632</x:v>
      </x:c>
      <x:c r="E203" s="11" t="n">
        <x:v>12338</x:v>
      </x:c>
      <x:c r="F203" s="11" t="n">
        <x:v>1599</x:v>
      </x:c>
      <x:c r="G203" s="11" t="n">
        <x:v>1789</x:v>
      </x:c>
      <x:c r="H203" s="11" t="n">
        <x:v>84</x:v>
      </x:c>
      <x:c r="I203" s="11" t="n">
        <x:v>101</x:v>
      </x:c>
      <x:c r="J203" s="11" t="n">
        <x:v>1818216</x:v>
      </x:c>
      <x:c r="K203" s="11" t="n">
        <x:v>1787307</x:v>
      </x:c>
      <x:c r="L203" s="11" t="n">
        <x:v>84288</x:v>
      </x:c>
      <x:c r="M203" s="11" t="n">
        <x:v>89257</x:v>
      </x:c>
      <x:c r="N203" s="11" t="n">
        <x:v>53496</x:v>
      </x:c>
      <x:c r="O203" s="11" t="n">
        <x:v>10051</x:v>
      </x:c>
      <x:c r="P203" s="11" t="n">
        <x:v>66</x:v>
      </x:c>
      <x:c r="Q203" s="2"/>
      <x:c r="R203" s="2"/>
      <x:c r="S203" s="2"/>
      <x:c r="T203" s="2"/>
      <x:c r="U203" s="2"/>
    </x:row>
    <x:row r="204" ht="26" customHeight="1">
      <x:c r="A204" s="2" t="str">
        <x:v>E08000037</x:v>
      </x:c>
      <x:c r="B204" s="2" t="str">
        <x:v>State-funded secondary</x:v>
      </x:c>
      <x:c r="C204" s="2" t="str">
        <x:v>Gateshead</x:v>
      </x:c>
      <x:c r="D204" s="11" t="n">
        <x:v>10895</x:v>
      </x:c>
      <x:c r="E204" s="11" t="n">
        <x:v>10765</x:v>
      </x:c>
      <x:c r="F204" s="11" t="n">
        <x:v>2448</x:v>
      </x:c>
      <x:c r="G204" s="11" t="n">
        <x:v>2416</x:v>
      </x:c>
      <x:c r="H204" s="11" t="n">
        <x:v>490</x:v>
      </x:c>
      <x:c r="I204" s="11" t="n">
        <x:v>464</x:v>
      </x:c>
      <x:c r="J204" s="11" t="n">
        <x:v>1534922</x:v>
      </x:c>
      <x:c r="K204" s="11" t="n">
        <x:v>1526970</x:v>
      </x:c>
      <x:c r="L204" s="11" t="n">
        <x:v>133320</x:v>
      </x:c>
      <x:c r="M204" s="11" t="n">
        <x:v>131877</x:v>
      </x:c>
      <x:c r="N204" s="11" t="n">
        <x:v>54886</x:v>
      </x:c>
      <x:c r="O204" s="11" t="n">
        <x:v>47974</x:v>
      </x:c>
      <x:c r="P204" s="11" t="n">
        <x:v>10</x:v>
      </x:c>
      <x:c r="Q204" s="2"/>
      <x:c r="R204" s="2"/>
      <x:c r="S204" s="2"/>
      <x:c r="T204" s="2"/>
      <x:c r="U204" s="2"/>
    </x:row>
    <x:row r="205" ht="26" customHeight="1">
      <x:c r="A205" s="2" t="str">
        <x:v>E09000001</x:v>
      </x:c>
      <x:c r="B205" s="2" t="str">
        <x:v>State-funded primary</x:v>
      </x:c>
      <x:c r="C205" s="2" t="str">
        <x:v>City of London</x:v>
      </x:c>
      <x:c r="D205" s="11" t="n">
        <x:v>180</x:v>
      </x:c>
      <x:c r="E205" s="11" t="n">
        <x:v>176</x:v>
      </x:c>
      <x:c r="F205" s="11" t="n">
        <x:v>15</x:v>
      </x:c>
      <x:c r="G205" s="11" t="n">
        <x:v>15</x:v>
      </x:c>
      <x:c r="H205" s="11" t="n">
        <x:v>0</x:v>
      </x:c>
      <x:c r="I205" s="11" t="n">
        <x:v>0</x:v>
      </x:c>
      <x:c r="J205" s="11" t="n">
        <x:v>25646</x:v>
      </x:c>
      <x:c r="K205" s="11" t="n">
        <x:v>24853</x:v>
      </x:c>
      <x:c r="L205" s="11" t="n">
        <x:v>918</x:v>
      </x:c>
      <x:c r="M205" s="11" t="n">
        <x:v>976</x:v>
      </x:c>
      <x:c r="N205" s="11" t="n">
        <x:v>632</x:v>
      </x:c>
      <x:c r="O205" s="11" t="n">
        <x:v>53</x:v>
      </x:c>
      <x:c r="P205" s="11" t="n">
        <x:v>1</x:v>
      </x:c>
      <x:c r="Q205" s="2"/>
      <x:c r="R205" s="2"/>
      <x:c r="S205" s="2"/>
      <x:c r="T205" s="2"/>
      <x:c r="U205" s="2"/>
    </x:row>
    <x:row r="206" ht="26" customHeight="1">
      <x:c r="A206" s="2" t="str">
        <x:v>E09000002</x:v>
      </x:c>
      <x:c r="B206" s="2" t="str">
        <x:v>State-funded primary</x:v>
      </x:c>
      <x:c r="C206" s="2" t="str">
        <x:v>Barking and Dagenham</x:v>
      </x:c>
      <x:c r="D206" s="11" t="n">
        <x:v>20150</x:v>
      </x:c>
      <x:c r="E206" s="11" t="n">
        <x:v>19939</x:v>
      </x:c>
      <x:c r="F206" s="11" t="n">
        <x:v>3150</x:v>
      </x:c>
      <x:c r="G206" s="11" t="n">
        <x:v>3248</x:v>
      </x:c>
      <x:c r="H206" s="11" t="n">
        <x:v>188</x:v>
      </x:c>
      <x:c r="I206" s="11" t="n">
        <x:v>201</x:v>
      </x:c>
      <x:c r="J206" s="11" t="n">
        <x:v>2769770</x:v>
      </x:c>
      <x:c r="K206" s="11" t="n">
        <x:v>2736021</x:v>
      </x:c>
      <x:c r="L206" s="11" t="n">
        <x:v>140796</x:v>
      </x:c>
      <x:c r="M206" s="11" t="n">
        <x:v>145211</x:v>
      </x:c>
      <x:c r="N206" s="11" t="n">
        <x:v>83190</x:v>
      </x:c>
      <x:c r="O206" s="11" t="n">
        <x:v>26036</x:v>
      </x:c>
      <x:c r="P206" s="11" t="n">
        <x:v>44</x:v>
      </x:c>
      <x:c r="Q206" s="2"/>
      <x:c r="R206" s="2"/>
      <x:c r="S206" s="2"/>
      <x:c r="T206" s="2"/>
      <x:c r="U206" s="2"/>
    </x:row>
    <x:row r="207" ht="26" customHeight="1">
      <x:c r="A207" s="2" t="str">
        <x:v>E09000002</x:v>
      </x:c>
      <x:c r="B207" s="2" t="str">
        <x:v>State-funded secondary</x:v>
      </x:c>
      <x:c r="C207" s="2" t="str">
        <x:v>Barking and Dagenham</x:v>
      </x:c>
      <x:c r="D207" s="11" t="n">
        <x:v>18428</x:v>
      </x:c>
      <x:c r="E207" s="11" t="n">
        <x:v>18411</x:v>
      </x:c>
      <x:c r="F207" s="11" t="n">
        <x:v>3000</x:v>
      </x:c>
      <x:c r="G207" s="11" t="n">
        <x:v>3208</x:v>
      </x:c>
      <x:c r="H207" s="11" t="n">
        <x:v>299</x:v>
      </x:c>
      <x:c r="I207" s="11" t="n">
        <x:v>293</x:v>
      </x:c>
      <x:c r="J207" s="11" t="n">
        <x:v>2537285</x:v>
      </x:c>
      <x:c r="K207" s="11" t="n">
        <x:v>2515120</x:v>
      </x:c>
      <x:c r="L207" s="11" t="n">
        <x:v>145314</x:v>
      </x:c>
      <x:c r="M207" s="11" t="n">
        <x:v>150891</x:v>
      </x:c>
      <x:c r="N207" s="11" t="n">
        <x:v>72985</x:v>
      </x:c>
      <x:c r="O207" s="11" t="n">
        <x:v>44039</x:v>
      </x:c>
      <x:c r="P207" s="11" t="n">
        <x:v>13</x:v>
      </x:c>
      <x:c r="Q207" s="2"/>
      <x:c r="R207" s="2"/>
      <x:c r="S207" s="2"/>
      <x:c r="T207" s="2"/>
      <x:c r="U207" s="2"/>
    </x:row>
    <x:row r="208" ht="26" customHeight="1">
      <x:c r="A208" s="2" t="str">
        <x:v>E09000003</x:v>
      </x:c>
      <x:c r="B208" s="2" t="str">
        <x:v>State-funded primary</x:v>
      </x:c>
      <x:c r="C208" s="2" t="str">
        <x:v>Barnet</x:v>
      </x:c>
      <x:c r="D208" s="11" t="n">
        <x:v>24474</x:v>
      </x:c>
      <x:c r="E208" s="11" t="n">
        <x:v>24085</x:v>
      </x:c>
      <x:c r="F208" s="11" t="n">
        <x:v>3275</x:v>
      </x:c>
      <x:c r="G208" s="11" t="n">
        <x:v>3048</x:v>
      </x:c>
      <x:c r="H208" s="11" t="n">
        <x:v>169</x:v>
      </x:c>
      <x:c r="I208" s="11" t="n">
        <x:v>220</x:v>
      </x:c>
      <x:c r="J208" s="11" t="n">
        <x:v>3410978</x:v>
      </x:c>
      <x:c r="K208" s="11" t="n">
        <x:v>3319918</x:v>
      </x:c>
      <x:c r="L208" s="11" t="n">
        <x:v>167496</x:v>
      </x:c>
      <x:c r="M208" s="11" t="n">
        <x:v>156340</x:v>
      </x:c>
      <x:c r="N208" s="11" t="n">
        <x:v>81940</x:v>
      </x:c>
      <x:c r="O208" s="11" t="n">
        <x:v>22011</x:v>
      </x:c>
      <x:c r="P208" s="11" t="n">
        <x:v>91</x:v>
      </x:c>
      <x:c r="Q208" s="2"/>
      <x:c r="R208" s="2"/>
      <x:c r="S208" s="2"/>
      <x:c r="T208" s="2"/>
      <x:c r="U208" s="2"/>
    </x:row>
    <x:row r="209" ht="26" customHeight="1">
      <x:c r="A209" s="2" t="str">
        <x:v>E09000003</x:v>
      </x:c>
      <x:c r="B209" s="2" t="str">
        <x:v>State-funded secondary</x:v>
      </x:c>
      <x:c r="C209" s="2" t="str">
        <x:v>Barnet</x:v>
      </x:c>
      <x:c r="D209" s="11" t="n">
        <x:v>25052</x:v>
      </x:c>
      <x:c r="E209" s="11" t="n">
        <x:v>24892</x:v>
      </x:c>
      <x:c r="F209" s="11" t="n">
        <x:v>4002</x:v>
      </x:c>
      <x:c r="G209" s="11" t="n">
        <x:v>3760</x:v>
      </x:c>
      <x:c r="H209" s="11" t="n">
        <x:v>379</x:v>
      </x:c>
      <x:c r="I209" s="11" t="n">
        <x:v>395</x:v>
      </x:c>
      <x:c r="J209" s="11" t="n">
        <x:v>3378427</x:v>
      </x:c>
      <x:c r="K209" s="11" t="n">
        <x:v>3273523</x:v>
      </x:c>
      <x:c r="L209" s="11" t="n">
        <x:v>200479</x:v>
      </x:c>
      <x:c r="M209" s="11" t="n">
        <x:v>186110</x:v>
      </x:c>
      <x:c r="N209" s="11" t="n">
        <x:v>96070</x:v>
      </x:c>
      <x:c r="O209" s="11" t="n">
        <x:v>45225</x:v>
      </x:c>
      <x:c r="P209" s="11" t="n">
        <x:v>28</x:v>
      </x:c>
      <x:c r="Q209" s="2"/>
      <x:c r="R209" s="2"/>
      <x:c r="S209" s="2"/>
      <x:c r="T209" s="2"/>
      <x:c r="U209" s="2"/>
    </x:row>
    <x:row r="210" ht="26" customHeight="1">
      <x:c r="A210" s="2" t="str">
        <x:v>E09000004</x:v>
      </x:c>
      <x:c r="B210" s="2" t="str">
        <x:v>State-funded primary</x:v>
      </x:c>
      <x:c r="C210" s="2" t="str">
        <x:v>Bexley</x:v>
      </x:c>
      <x:c r="D210" s="11" t="n">
        <x:v>18596</x:v>
      </x:c>
      <x:c r="E210" s="11" t="n">
        <x:v>18074</x:v>
      </x:c>
      <x:c r="F210" s="11" t="n">
        <x:v>2495</x:v>
      </x:c>
      <x:c r="G210" s="11" t="n">
        <x:v>2517</x:v>
      </x:c>
      <x:c r="H210" s="11" t="n">
        <x:v>123</x:v>
      </x:c>
      <x:c r="I210" s="11" t="n">
        <x:v>146</x:v>
      </x:c>
      <x:c r="J210" s="11" t="n">
        <x:v>2573043</x:v>
      </x:c>
      <x:c r="K210" s="11" t="n">
        <x:v>2469419</x:v>
      </x:c>
      <x:c r="L210" s="11" t="n">
        <x:v>122497</x:v>
      </x:c>
      <x:c r="M210" s="11" t="n">
        <x:v>119715</x:v>
      </x:c>
      <x:c r="N210" s="11" t="n">
        <x:v>72208</x:v>
      </x:c>
      <x:c r="O210" s="11" t="n">
        <x:v>18496</x:v>
      </x:c>
      <x:c r="P210" s="11" t="n">
        <x:v>60</x:v>
      </x:c>
      <x:c r="Q210" s="2"/>
      <x:c r="R210" s="2"/>
      <x:c r="S210" s="2"/>
      <x:c r="T210" s="2"/>
      <x:c r="U210" s="2"/>
    </x:row>
    <x:row r="211" ht="26" customHeight="1">
      <x:c r="A211" s="2" t="str">
        <x:v>E09000004</x:v>
      </x:c>
      <x:c r="B211" s="2" t="str">
        <x:v>State-funded secondary</x:v>
      </x:c>
      <x:c r="C211" s="2" t="str">
        <x:v>Bexley</x:v>
      </x:c>
      <x:c r="D211" s="11" t="n">
        <x:v>16368</x:v>
      </x:c>
      <x:c r="E211" s="11" t="n">
        <x:v>16077</x:v>
      </x:c>
      <x:c r="F211" s="11" t="n">
        <x:v>2996</x:v>
      </x:c>
      <x:c r="G211" s="11" t="n">
        <x:v>2907</x:v>
      </x:c>
      <x:c r="H211" s="11" t="n">
        <x:v>382</x:v>
      </x:c>
      <x:c r="I211" s="11" t="n">
        <x:v>348</x:v>
      </x:c>
      <x:c r="J211" s="11" t="n">
        <x:v>2165657</x:v>
      </x:c>
      <x:c r="K211" s="11" t="n">
        <x:v>2105092</x:v>
      </x:c>
      <x:c r="L211" s="11" t="n">
        <x:v>138567</x:v>
      </x:c>
      <x:c r="M211" s="11" t="n">
        <x:v>136232</x:v>
      </x:c>
      <x:c r="N211" s="11" t="n">
        <x:v>75184</x:v>
      </x:c>
      <x:c r="O211" s="11" t="n">
        <x:v>32333</x:v>
      </x:c>
      <x:c r="P211" s="11" t="n">
        <x:v>16</x:v>
      </x:c>
      <x:c r="Q211" s="2"/>
      <x:c r="R211" s="2"/>
      <x:c r="S211" s="2"/>
      <x:c r="T211" s="2"/>
      <x:c r="U211" s="2"/>
    </x:row>
    <x:row r="212" ht="26" customHeight="1">
      <x:c r="A212" s="2" t="str">
        <x:v>E09000005</x:v>
      </x:c>
      <x:c r="B212" s="2" t="str">
        <x:v>State-funded primary</x:v>
      </x:c>
      <x:c r="C212" s="2" t="str">
        <x:v>Brent</x:v>
      </x:c>
      <x:c r="D212" s="11" t="n">
        <x:v>21473</x:v>
      </x:c>
      <x:c r="E212" s="11" t="n">
        <x:v>21147</x:v>
      </x:c>
      <x:c r="F212" s="11" t="n">
        <x:v>2944</x:v>
      </x:c>
      <x:c r="G212" s="11" t="n">
        <x:v>2921</x:v>
      </x:c>
      <x:c r="H212" s="11" t="n">
        <x:v>180</x:v>
      </x:c>
      <x:c r="I212" s="11" t="n">
        <x:v>178</x:v>
      </x:c>
      <x:c r="J212" s="11" t="n">
        <x:v>2956113</x:v>
      </x:c>
      <x:c r="K212" s="11" t="n">
        <x:v>2897200</x:v>
      </x:c>
      <x:c r="L212" s="11" t="n">
        <x:v>143121</x:v>
      </x:c>
      <x:c r="M212" s="11" t="n">
        <x:v>142994</x:v>
      </x:c>
      <x:c r="N212" s="11" t="n">
        <x:v>80723</x:v>
      </x:c>
      <x:c r="O212" s="11" t="n">
        <x:v>21915</x:v>
      </x:c>
      <x:c r="P212" s="11" t="n">
        <x:v>60</x:v>
      </x:c>
      <x:c r="Q212" s="2"/>
      <x:c r="R212" s="2"/>
      <x:c r="S212" s="2"/>
      <x:c r="T212" s="2"/>
      <x:c r="U212" s="2"/>
    </x:row>
    <x:row r="213" ht="26" customHeight="1">
      <x:c r="A213" s="2" t="str">
        <x:v>E09000005</x:v>
      </x:c>
      <x:c r="B213" s="2" t="str">
        <x:v>State-funded secondary</x:v>
      </x:c>
      <x:c r="C213" s="2" t="str">
        <x:v>Brent</x:v>
      </x:c>
      <x:c r="D213" s="11" t="n">
        <x:v>17873</x:v>
      </x:c>
      <x:c r="E213" s="11" t="n">
        <x:v>17834</x:v>
      </x:c>
      <x:c r="F213" s="11" t="n">
        <x:v>2967</x:v>
      </x:c>
      <x:c r="G213" s="11" t="n">
        <x:v>3171</x:v>
      </x:c>
      <x:c r="H213" s="11" t="n">
        <x:v>274</x:v>
      </x:c>
      <x:c r="I213" s="11" t="n">
        <x:v>255</x:v>
      </x:c>
      <x:c r="J213" s="11" t="n">
        <x:v>2399649</x:v>
      </x:c>
      <x:c r="K213" s="11" t="n">
        <x:v>2372318</x:v>
      </x:c>
      <x:c r="L213" s="11" t="n">
        <x:v>140210</x:v>
      </x:c>
      <x:c r="M213" s="11" t="n">
        <x:v>145476</x:v>
      </x:c>
      <x:c r="N213" s="11" t="n">
        <x:v>71226</x:v>
      </x:c>
      <x:c r="O213" s="11" t="n">
        <x:v>34252</x:v>
      </x:c>
      <x:c r="P213" s="11" t="n">
        <x:v>16</x:v>
      </x:c>
      <x:c r="Q213" s="2"/>
      <x:c r="R213" s="2"/>
      <x:c r="S213" s="2"/>
      <x:c r="T213" s="2"/>
      <x:c r="U213" s="2"/>
    </x:row>
    <x:row r="214" ht="26" customHeight="1">
      <x:c r="A214" s="2" t="str">
        <x:v>E09000006</x:v>
      </x:c>
      <x:c r="B214" s="2" t="str">
        <x:v>State-funded primary</x:v>
      </x:c>
      <x:c r="C214" s="2" t="str">
        <x:v>Bromley</x:v>
      </x:c>
      <x:c r="D214" s="11" t="n">
        <x:v>23648</x:v>
      </x:c>
      <x:c r="E214" s="11" t="n">
        <x:v>23465</x:v>
      </x:c>
      <x:c r="F214" s="11" t="n">
        <x:v>3131</x:v>
      </x:c>
      <x:c r="G214" s="11" t="n">
        <x:v>3025</x:v>
      </x:c>
      <x:c r="H214" s="11" t="n">
        <x:v>156</x:v>
      </x:c>
      <x:c r="I214" s="11" t="n">
        <x:v>166</x:v>
      </x:c>
      <x:c r="J214" s="11" t="n">
        <x:v>3235518</x:v>
      </x:c>
      <x:c r="K214" s="11" t="n">
        <x:v>3175369</x:v>
      </x:c>
      <x:c r="L214" s="11" t="n">
        <x:v>155584</x:v>
      </x:c>
      <x:c r="M214" s="11" t="n">
        <x:v>149611</x:v>
      </x:c>
      <x:c r="N214" s="11" t="n">
        <x:v>86311</x:v>
      </x:c>
      <x:c r="O214" s="11" t="n">
        <x:v>17934</x:v>
      </x:c>
      <x:c r="P214" s="11" t="n">
        <x:v>76</x:v>
      </x:c>
      <x:c r="Q214" s="2"/>
      <x:c r="R214" s="2"/>
      <x:c r="S214" s="2"/>
      <x:c r="T214" s="2"/>
      <x:c r="U214" s="2"/>
    </x:row>
    <x:row r="215" ht="26" customHeight="1">
      <x:c r="A215" s="2" t="str">
        <x:v>E09000006</x:v>
      </x:c>
      <x:c r="B215" s="2" t="str">
        <x:v>State-funded secondary</x:v>
      </x:c>
      <x:c r="C215" s="2" t="str">
        <x:v>Bromley</x:v>
      </x:c>
      <x:c r="D215" s="11" t="n">
        <x:v>19230</x:v>
      </x:c>
      <x:c r="E215" s="11" t="n">
        <x:v>19011</x:v>
      </x:c>
      <x:c r="F215" s="11" t="n">
        <x:v>3555</x:v>
      </x:c>
      <x:c r="G215" s="11" t="n">
        <x:v>3425</x:v>
      </x:c>
      <x:c r="H215" s="11" t="n">
        <x:v>416</x:v>
      </x:c>
      <x:c r="I215" s="11" t="n">
        <x:v>388</x:v>
      </x:c>
      <x:c r="J215" s="11" t="n">
        <x:v>2535143</x:v>
      </x:c>
      <x:c r="K215" s="11" t="n">
        <x:v>2488912</x:v>
      </x:c>
      <x:c r="L215" s="11" t="n">
        <x:v>170117</x:v>
      </x:c>
      <x:c r="M215" s="11" t="n">
        <x:v>165330</x:v>
      </x:c>
      <x:c r="N215" s="11" t="n">
        <x:v>93840</x:v>
      </x:c>
      <x:c r="O215" s="11" t="n">
        <x:v>37223</x:v>
      </x:c>
      <x:c r="P215" s="11" t="n">
        <x:v>19</x:v>
      </x:c>
      <x:c r="Q215" s="2"/>
      <x:c r="R215" s="2"/>
      <x:c r="S215" s="2"/>
      <x:c r="T215" s="2"/>
      <x:c r="U215" s="2"/>
    </x:row>
    <x:row r="216" ht="26" customHeight="1">
      <x:c r="A216" s="2" t="str">
        <x:v>E09000007</x:v>
      </x:c>
      <x:c r="B216" s="2" t="str">
        <x:v>State-funded primary</x:v>
      </x:c>
      <x:c r="C216" s="2" t="str">
        <x:v>Camden</x:v>
      </x:c>
      <x:c r="D216" s="11" t="n">
        <x:v>8173</x:v>
      </x:c>
      <x:c r="E216" s="11" t="n">
        <x:v>7933</x:v>
      </x:c>
      <x:c r="F216" s="11" t="n">
        <x:v>1400</x:v>
      </x:c>
      <x:c r="G216" s="11" t="n">
        <x:v>1379</x:v>
      </x:c>
      <x:c r="H216" s="11" t="n">
        <x:v>86</x:v>
      </x:c>
      <x:c r="I216" s="11" t="n">
        <x:v>59</x:v>
      </x:c>
      <x:c r="J216" s="11" t="n">
        <x:v>1151573</x:v>
      </x:c>
      <x:c r="K216" s="11" t="n">
        <x:v>1121659</x:v>
      </x:c>
      <x:c r="L216" s="11" t="n">
        <x:v>64473</x:v>
      </x:c>
      <x:c r="M216" s="11" t="n">
        <x:v>63722</x:v>
      </x:c>
      <x:c r="N216" s="11" t="n">
        <x:v>37604</x:v>
      </x:c>
      <x:c r="O216" s="11" t="n">
        <x:v>7633</x:v>
      </x:c>
      <x:c r="P216" s="11" t="n">
        <x:v>38</x:v>
      </x:c>
      <x:c r="Q216" s="2"/>
      <x:c r="R216" s="2"/>
      <x:c r="S216" s="2"/>
      <x:c r="T216" s="2"/>
      <x:c r="U216" s="2"/>
    </x:row>
    <x:row r="217" ht="26" customHeight="1">
      <x:c r="A217" s="2" t="str">
        <x:v>E09000007</x:v>
      </x:c>
      <x:c r="B217" s="2" t="str">
        <x:v>State-funded secondary</x:v>
      </x:c>
      <x:c r="C217" s="2" t="str">
        <x:v>Camden</x:v>
      </x:c>
      <x:c r="D217" s="11" t="n">
        <x:v>7446</x:v>
      </x:c>
      <x:c r="E217" s="11" t="n">
        <x:v>7124</x:v>
      </x:c>
      <x:c r="F217" s="11" t="n">
        <x:v>1852</x:v>
      </x:c>
      <x:c r="G217" s="11" t="n">
        <x:v>1799</x:v>
      </x:c>
      <x:c r="H217" s="11" t="n">
        <x:v>235</x:v>
      </x:c>
      <x:c r="I217" s="11" t="n">
        <x:v>267</x:v>
      </x:c>
      <x:c r="J217" s="11" t="n">
        <x:v>1016269</x:v>
      </x:c>
      <x:c r="K217" s="11" t="n">
        <x:v>970799</x:v>
      </x:c>
      <x:c r="L217" s="11" t="n">
        <x:v>83795</x:v>
      </x:c>
      <x:c r="M217" s="11" t="n">
        <x:v>84727</x:v>
      </x:c>
      <x:c r="N217" s="11" t="n">
        <x:v>40187</x:v>
      </x:c>
      <x:c r="O217" s="11" t="n">
        <x:v>23481</x:v>
      </x:c>
      <x:c r="P217" s="11" t="n">
        <x:v>10</x:v>
      </x:c>
      <x:c r="Q217" s="2"/>
      <x:c r="R217" s="2"/>
      <x:c r="S217" s="2"/>
      <x:c r="T217" s="2"/>
      <x:c r="U217" s="2"/>
    </x:row>
    <x:row r="218" ht="26" customHeight="1">
      <x:c r="A218" s="2" t="str">
        <x:v>E09000008</x:v>
      </x:c>
      <x:c r="B218" s="2" t="str">
        <x:v>State-funded primary</x:v>
      </x:c>
      <x:c r="C218" s="2" t="str">
        <x:v>Croydon</x:v>
      </x:c>
      <x:c r="D218" s="11" t="n">
        <x:v>26978</x:v>
      </x:c>
      <x:c r="E218" s="11" t="n">
        <x:v>26966</x:v>
      </x:c>
      <x:c r="F218" s="11" t="n">
        <x:v>4197</x:v>
      </x:c>
      <x:c r="G218" s="11" t="n">
        <x:v>4269</x:v>
      </x:c>
      <x:c r="H218" s="11" t="n">
        <x:v>293</x:v>
      </x:c>
      <x:c r="I218" s="11" t="n">
        <x:v>301</x:v>
      </x:c>
      <x:c r="J218" s="11" t="n">
        <x:v>3699452</x:v>
      </x:c>
      <x:c r="K218" s="11" t="n">
        <x:v>3689482</x:v>
      </x:c>
      <x:c r="L218" s="11" t="n">
        <x:v>196632</x:v>
      </x:c>
      <x:c r="M218" s="11" t="n">
        <x:v>196351</x:v>
      </x:c>
      <x:c r="N218" s="11" t="n">
        <x:v>112159</x:v>
      </x:c>
      <x:c r="O218" s="11" t="n">
        <x:v>30461</x:v>
      </x:c>
      <x:c r="P218" s="11" t="n">
        <x:v>87</x:v>
      </x:c>
      <x:c r="Q218" s="2"/>
      <x:c r="R218" s="2"/>
      <x:c r="S218" s="2"/>
      <x:c r="T218" s="2"/>
      <x:c r="U218" s="2"/>
    </x:row>
    <x:row r="219" ht="26" customHeight="1">
      <x:c r="A219" s="2" t="str">
        <x:v>E09000008</x:v>
      </x:c>
      <x:c r="B219" s="2" t="str">
        <x:v>State-funded secondary</x:v>
      </x:c>
      <x:c r="C219" s="2" t="str">
        <x:v>Croydon</x:v>
      </x:c>
      <x:c r="D219" s="11" t="n">
        <x:v>19968</x:v>
      </x:c>
      <x:c r="E219" s="11" t="n">
        <x:v>19218</x:v>
      </x:c>
      <x:c r="F219" s="11" t="n">
        <x:v>4289</x:v>
      </x:c>
      <x:c r="G219" s="11" t="n">
        <x:v>4104</x:v>
      </x:c>
      <x:c r="H219" s="11" t="n">
        <x:v>487</x:v>
      </x:c>
      <x:c r="I219" s="11" t="n">
        <x:v>456</x:v>
      </x:c>
      <x:c r="J219" s="11" t="n">
        <x:v>2636853</x:v>
      </x:c>
      <x:c r="K219" s="11" t="n">
        <x:v>2510699</x:v>
      </x:c>
      <x:c r="L219" s="11" t="n">
        <x:v>192686</x:v>
      </x:c>
      <x:c r="M219" s="11" t="n">
        <x:v>181924</x:v>
      </x:c>
      <x:c r="N219" s="11" t="n">
        <x:v>84224</x:v>
      </x:c>
      <x:c r="O219" s="11" t="n">
        <x:v>54847</x:v>
      </x:c>
      <x:c r="P219" s="11" t="n">
        <x:v>24</x:v>
      </x:c>
      <x:c r="Q219" s="2"/>
      <x:c r="R219" s="2"/>
      <x:c r="S219" s="2"/>
      <x:c r="T219" s="2"/>
      <x:c r="U219" s="2"/>
    </x:row>
    <x:row r="220" ht="26" customHeight="1">
      <x:c r="A220" s="2" t="str">
        <x:v>E09000009</x:v>
      </x:c>
      <x:c r="B220" s="2" t="str">
        <x:v>State-funded primary</x:v>
      </x:c>
      <x:c r="C220" s="2" t="str">
        <x:v>Ealing</x:v>
      </x:c>
      <x:c r="D220" s="11" t="n">
        <x:v>24479</x:v>
      </x:c>
      <x:c r="E220" s="11" t="n">
        <x:v>23771</x:v>
      </x:c>
      <x:c r="F220" s="11" t="n">
        <x:v>3531</x:v>
      </x:c>
      <x:c r="G220" s="11" t="n">
        <x:v>3287</x:v>
      </x:c>
      <x:c r="H220" s="11" t="n">
        <x:v>279</x:v>
      </x:c>
      <x:c r="I220" s="11" t="n">
        <x:v>333</x:v>
      </x:c>
      <x:c r="J220" s="11" t="n">
        <x:v>3395167</x:v>
      </x:c>
      <x:c r="K220" s="11" t="n">
        <x:v>3286212</x:v>
      </x:c>
      <x:c r="L220" s="11" t="n">
        <x:v>171185</x:v>
      </x:c>
      <x:c r="M220" s="11" t="n">
        <x:v>161192</x:v>
      </x:c>
      <x:c r="N220" s="11" t="n">
        <x:v>94296</x:v>
      </x:c>
      <x:c r="O220" s="11" t="n">
        <x:v>22722</x:v>
      </x:c>
      <x:c r="P220" s="11" t="n">
        <x:v>65</x:v>
      </x:c>
      <x:c r="Q220" s="2"/>
      <x:c r="R220" s="2"/>
      <x:c r="S220" s="2"/>
      <x:c r="T220" s="2"/>
      <x:c r="U220" s="2"/>
    </x:row>
    <x:row r="221" ht="26" customHeight="1">
      <x:c r="A221" s="2" t="str">
        <x:v>E09000009</x:v>
      </x:c>
      <x:c r="B221" s="2" t="str">
        <x:v>State-funded secondary</x:v>
      </x:c>
      <x:c r="C221" s="2" t="str">
        <x:v>Ealing</x:v>
      </x:c>
      <x:c r="D221" s="11" t="n">
        <x:v>19109</x:v>
      </x:c>
      <x:c r="E221" s="11" t="n">
        <x:v>19038</x:v>
      </x:c>
      <x:c r="F221" s="11" t="n">
        <x:v>3400</x:v>
      </x:c>
      <x:c r="G221" s="11" t="n">
        <x:v>3325</x:v>
      </x:c>
      <x:c r="H221" s="11" t="n">
        <x:v>450</x:v>
      </x:c>
      <x:c r="I221" s="11" t="n">
        <x:v>368</x:v>
      </x:c>
      <x:c r="J221" s="11" t="n">
        <x:v>2584130</x:v>
      </x:c>
      <x:c r="K221" s="11" t="n">
        <x:v>2543809</x:v>
      </x:c>
      <x:c r="L221" s="11" t="n">
        <x:v>168073</x:v>
      </x:c>
      <x:c r="M221" s="11" t="n">
        <x:v>159097</x:v>
      </x:c>
      <x:c r="N221" s="11" t="n">
        <x:v>76069</x:v>
      </x:c>
      <x:c r="O221" s="11" t="n">
        <x:v>40990</x:v>
      </x:c>
      <x:c r="P221" s="11" t="n">
        <x:v>17</x:v>
      </x:c>
      <x:c r="Q221" s="2"/>
      <x:c r="R221" s="2"/>
      <x:c r="S221" s="2"/>
      <x:c r="T221" s="2"/>
      <x:c r="U221" s="2"/>
    </x:row>
    <x:row r="222" ht="26" customHeight="1">
      <x:c r="A222" s="2" t="str">
        <x:v>E09000010</x:v>
      </x:c>
      <x:c r="B222" s="2" t="str">
        <x:v>State-funded primary</x:v>
      </x:c>
      <x:c r="C222" s="2" t="str">
        <x:v>Enfield</x:v>
      </x:c>
      <x:c r="D222" s="11" t="n">
        <x:v>23882</x:v>
      </x:c>
      <x:c r="E222" s="11" t="n">
        <x:v>23251</x:v>
      </x:c>
      <x:c r="F222" s="11" t="n">
        <x:v>3398</x:v>
      </x:c>
      <x:c r="G222" s="11" t="n">
        <x:v>3556</x:v>
      </x:c>
      <x:c r="H222" s="11" t="n">
        <x:v>248</x:v>
      </x:c>
      <x:c r="I222" s="11" t="n">
        <x:v>293</x:v>
      </x:c>
      <x:c r="J222" s="11" t="n">
        <x:v>3338724</x:v>
      </x:c>
      <x:c r="K222" s="11" t="n">
        <x:v>3229675</x:v>
      </x:c>
      <x:c r="L222" s="11" t="n">
        <x:v>166602</x:v>
      </x:c>
      <x:c r="M222" s="11" t="n">
        <x:v>171478</x:v>
      </x:c>
      <x:c r="N222" s="11" t="n">
        <x:v>91998</x:v>
      </x:c>
      <x:c r="O222" s="11" t="n">
        <x:v>38252</x:v>
      </x:c>
      <x:c r="P222" s="11" t="n">
        <x:v>68</x:v>
      </x:c>
      <x:c r="Q222" s="2"/>
      <x:c r="R222" s="2"/>
      <x:c r="S222" s="2"/>
      <x:c r="T222" s="2"/>
      <x:c r="U222" s="2"/>
    </x:row>
    <x:row r="223" ht="26" customHeight="1">
      <x:c r="A223" s="2" t="str">
        <x:v>E09000010</x:v>
      </x:c>
      <x:c r="B223" s="2" t="str">
        <x:v>State-funded secondary</x:v>
      </x:c>
      <x:c r="C223" s="2" t="str">
        <x:v>Enfield</x:v>
      </x:c>
      <x:c r="D223" s="11" t="n">
        <x:v>20886</x:v>
      </x:c>
      <x:c r="E223" s="11" t="n">
        <x:v>20400</x:v>
      </x:c>
      <x:c r="F223" s="11" t="n">
        <x:v>3979</x:v>
      </x:c>
      <x:c r="G223" s="11" t="n">
        <x:v>3980</x:v>
      </x:c>
      <x:c r="H223" s="11" t="n">
        <x:v>409</x:v>
      </x:c>
      <x:c r="I223" s="11" t="n">
        <x:v>348</x:v>
      </x:c>
      <x:c r="J223" s="11" t="n">
        <x:v>2796232</x:v>
      </x:c>
      <x:c r="K223" s="11" t="n">
        <x:v>2696635</x:v>
      </x:c>
      <x:c r="L223" s="11" t="n">
        <x:v>182224</x:v>
      </x:c>
      <x:c r="M223" s="11" t="n">
        <x:v>176917</x:v>
      </x:c>
      <x:c r="N223" s="11" t="n">
        <x:v>81515</x:v>
      </x:c>
      <x:c r="O223" s="11" t="n">
        <x:v>56452</x:v>
      </x:c>
      <x:c r="P223" s="11" t="n">
        <x:v>21</x:v>
      </x:c>
      <x:c r="Q223" s="2"/>
      <x:c r="R223" s="2"/>
      <x:c r="S223" s="2"/>
      <x:c r="T223" s="2"/>
      <x:c r="U223" s="2"/>
    </x:row>
    <x:row r="224" ht="26" customHeight="1">
      <x:c r="A224" s="2" t="str">
        <x:v>E09000011</x:v>
      </x:c>
      <x:c r="B224" s="2" t="str">
        <x:v>State-funded primary</x:v>
      </x:c>
      <x:c r="C224" s="2" t="str">
        <x:v>Greenwich</x:v>
      </x:c>
      <x:c r="D224" s="11" t="n">
        <x:v>20032</x:v>
      </x:c>
      <x:c r="E224" s="11" t="n">
        <x:v>19397</x:v>
      </x:c>
      <x:c r="F224" s="11" t="n">
        <x:v>2640</x:v>
      </x:c>
      <x:c r="G224" s="11" t="n">
        <x:v>2662</x:v>
      </x:c>
      <x:c r="H224" s="11" t="n">
        <x:v>124</x:v>
      </x:c>
      <x:c r="I224" s="11" t="n">
        <x:v>152</x:v>
      </x:c>
      <x:c r="J224" s="11" t="n">
        <x:v>2806283</x:v>
      </x:c>
      <x:c r="K224" s="11" t="n">
        <x:v>2712334</x:v>
      </x:c>
      <x:c r="L224" s="11" t="n">
        <x:v>132544</x:v>
      </x:c>
      <x:c r="M224" s="11" t="n">
        <x:v>132714</x:v>
      </x:c>
      <x:c r="N224" s="11" t="n">
        <x:v>66340</x:v>
      </x:c>
      <x:c r="O224" s="11" t="n">
        <x:v>30718</x:v>
      </x:c>
      <x:c r="P224" s="11" t="n">
        <x:v>62</x:v>
      </x:c>
      <x:c r="Q224" s="2"/>
      <x:c r="R224" s="2"/>
      <x:c r="S224" s="2"/>
      <x:c r="T224" s="2"/>
      <x:c r="U224" s="2"/>
    </x:row>
    <x:row r="225" ht="26" customHeight="1">
      <x:c r="A225" s="2" t="str">
        <x:v>E09000011</x:v>
      </x:c>
      <x:c r="B225" s="2" t="str">
        <x:v>State-funded secondary</x:v>
      </x:c>
      <x:c r="C225" s="2" t="str">
        <x:v>Greenwich</x:v>
      </x:c>
      <x:c r="D225" s="11" t="n">
        <x:v>16503</x:v>
      </x:c>
      <x:c r="E225" s="11" t="n">
        <x:v>16237</x:v>
      </x:c>
      <x:c r="F225" s="11" t="n">
        <x:v>3111</x:v>
      </x:c>
      <x:c r="G225" s="11" t="n">
        <x:v>3108</x:v>
      </x:c>
      <x:c r="H225" s="11" t="n">
        <x:v>422</x:v>
      </x:c>
      <x:c r="I225" s="11" t="n">
        <x:v>387</x:v>
      </x:c>
      <x:c r="J225" s="11" t="n">
        <x:v>2209113</x:v>
      </x:c>
      <x:c r="K225" s="11" t="n">
        <x:v>2185595</x:v>
      </x:c>
      <x:c r="L225" s="11" t="n">
        <x:v>152045</x:v>
      </x:c>
      <x:c r="M225" s="11" t="n">
        <x:v>150222</x:v>
      </x:c>
      <x:c r="N225" s="11" t="n">
        <x:v>59256</x:v>
      </x:c>
      <x:c r="O225" s="11" t="n">
        <x:v>57920</x:v>
      </x:c>
      <x:c r="P225" s="11" t="n">
        <x:v>16</x:v>
      </x:c>
      <x:c r="Q225" s="2"/>
      <x:c r="R225" s="2"/>
      <x:c r="S225" s="2"/>
      <x:c r="T225" s="2"/>
      <x:c r="U225" s="2"/>
    </x:row>
    <x:row r="226" ht="26" customHeight="1">
      <x:c r="A226" s="2" t="str">
        <x:v>E09000012</x:v>
      </x:c>
      <x:c r="B226" s="2" t="str">
        <x:v>State-funded primary</x:v>
      </x:c>
      <x:c r="C226" s="2" t="str">
        <x:v>Hackney</x:v>
      </x:c>
      <x:c r="D226" s="11" t="n">
        <x:v>14059</x:v>
      </x:c>
      <x:c r="E226" s="11" t="n">
        <x:v>13594</x:v>
      </x:c>
      <x:c r="F226" s="11" t="n">
        <x:v>1964</x:v>
      </x:c>
      <x:c r="G226" s="11" t="n">
        <x:v>2030</x:v>
      </x:c>
      <x:c r="H226" s="11" t="n">
        <x:v>113</x:v>
      </x:c>
      <x:c r="I226" s="11" t="n">
        <x:v>128</x:v>
      </x:c>
      <x:c r="J226" s="11" t="n">
        <x:v>1980004</x:v>
      </x:c>
      <x:c r="K226" s="11" t="n">
        <x:v>1907050</x:v>
      </x:c>
      <x:c r="L226" s="11" t="n">
        <x:v>99348</x:v>
      </x:c>
      <x:c r="M226" s="11" t="n">
        <x:v>99324</x:v>
      </x:c>
      <x:c r="N226" s="11" t="n">
        <x:v>55361</x:v>
      </x:c>
      <x:c r="O226" s="11" t="n">
        <x:v>15321</x:v>
      </x:c>
      <x:c r="P226" s="11" t="n">
        <x:v>50</x:v>
      </x:c>
      <x:c r="Q226" s="2"/>
      <x:c r="R226" s="2"/>
      <x:c r="S226" s="2"/>
      <x:c r="T226" s="2"/>
      <x:c r="U226" s="2"/>
    </x:row>
    <x:row r="227" ht="26" customHeight="1">
      <x:c r="A227" s="2" t="str">
        <x:v>E09000012</x:v>
      </x:c>
      <x:c r="B227" s="2" t="str">
        <x:v>State-funded secondary</x:v>
      </x:c>
      <x:c r="C227" s="2" t="str">
        <x:v>Hackney</x:v>
      </x:c>
      <x:c r="D227" s="11" t="n">
        <x:v>12304</x:v>
      </x:c>
      <x:c r="E227" s="11" t="n">
        <x:v>12061</x:v>
      </x:c>
      <x:c r="F227" s="11" t="n">
        <x:v>2282</x:v>
      </x:c>
      <x:c r="G227" s="11" t="n">
        <x:v>2372</x:v>
      </x:c>
      <x:c r="H227" s="11" t="n">
        <x:v>274</x:v>
      </x:c>
      <x:c r="I227" s="11" t="n">
        <x:v>294</x:v>
      </x:c>
      <x:c r="J227" s="11" t="n">
        <x:v>1646559</x:v>
      </x:c>
      <x:c r="K227" s="11" t="n">
        <x:v>1573116</x:v>
      </x:c>
      <x:c r="L227" s="11" t="n">
        <x:v>109193</x:v>
      </x:c>
      <x:c r="M227" s="11" t="n">
        <x:v>108589</x:v>
      </x:c>
      <x:c r="N227" s="11" t="n">
        <x:v>46451</x:v>
      </x:c>
      <x:c r="O227" s="11" t="n">
        <x:v>38624</x:v>
      </x:c>
      <x:c r="P227" s="11" t="n">
        <x:v>16</x:v>
      </x:c>
      <x:c r="Q227" s="2"/>
      <x:c r="R227" s="2"/>
      <x:c r="S227" s="2"/>
      <x:c r="T227" s="2"/>
      <x:c r="U227" s="2"/>
    </x:row>
    <x:row r="228" ht="26" customHeight="1">
      <x:c r="A228" s="2" t="str">
        <x:v>E09000013</x:v>
      </x:c>
      <x:c r="B228" s="2" t="str">
        <x:v>State-funded primary</x:v>
      </x:c>
      <x:c r="C228" s="2" t="str">
        <x:v>Hammersmith and Fulham</x:v>
      </x:c>
      <x:c r="D228" s="11" t="n">
        <x:v>7375</x:v>
      </x:c>
      <x:c r="E228" s="11" t="n">
        <x:v>7282</x:v>
      </x:c>
      <x:c r="F228" s="11" t="n">
        <x:v>1159</x:v>
      </x:c>
      <x:c r="G228" s="11" t="n">
        <x:v>1073</x:v>
      </x:c>
      <x:c r="H228" s="11" t="n">
        <x:v>53</x:v>
      </x:c>
      <x:c r="I228" s="11" t="n">
        <x:v>68</x:v>
      </x:c>
      <x:c r="J228" s="11" t="n">
        <x:v>1026641</x:v>
      </x:c>
      <x:c r="K228" s="11" t="n">
        <x:v>1008767</x:v>
      </x:c>
      <x:c r="L228" s="11" t="n">
        <x:v>54012</x:v>
      </x:c>
      <x:c r="M228" s="11" t="n">
        <x:v>51224</x:v>
      </x:c>
      <x:c r="N228" s="11" t="n">
        <x:v>28529</x:v>
      </x:c>
      <x:c r="O228" s="11" t="n">
        <x:v>7803</x:v>
      </x:c>
      <x:c r="P228" s="11" t="n">
        <x:v>36</x:v>
      </x:c>
      <x:c r="Q228" s="2"/>
      <x:c r="R228" s="2"/>
      <x:c r="S228" s="2"/>
      <x:c r="T228" s="2"/>
      <x:c r="U228" s="2"/>
    </x:row>
    <x:row r="229" ht="26" customHeight="1">
      <x:c r="A229" s="2" t="str">
        <x:v>E09000013</x:v>
      </x:c>
      <x:c r="B229" s="2" t="str">
        <x:v>State-funded secondary</x:v>
      </x:c>
      <x:c r="C229" s="2" t="str">
        <x:v>Hammersmith and Fulham</x:v>
      </x:c>
      <x:c r="D229" s="11" t="n">
        <x:v>7579</x:v>
      </x:c>
      <x:c r="E229" s="11" t="n">
        <x:v>7458</x:v>
      </x:c>
      <x:c r="F229" s="11" t="n">
        <x:v>1250</x:v>
      </x:c>
      <x:c r="G229" s="11" t="n">
        <x:v>1306</x:v>
      </x:c>
      <x:c r="H229" s="11" t="n">
        <x:v>132</x:v>
      </x:c>
      <x:c r="I229" s="11" t="n">
        <x:v>115</x:v>
      </x:c>
      <x:c r="J229" s="11" t="n">
        <x:v>1001970</x:v>
      </x:c>
      <x:c r="K229" s="11" t="n">
        <x:v>985658</x:v>
      </x:c>
      <x:c r="L229" s="11" t="n">
        <x:v>60208</x:v>
      </x:c>
      <x:c r="M229" s="11" t="n">
        <x:v>59927</x:v>
      </x:c>
      <x:c r="N229" s="11" t="n">
        <x:v>29838</x:v>
      </x:c>
      <x:c r="O229" s="11" t="n">
        <x:v>15294</x:v>
      </x:c>
      <x:c r="P229" s="11" t="n">
        <x:v>11</x:v>
      </x:c>
      <x:c r="Q229" s="2"/>
      <x:c r="R229" s="2"/>
      <x:c r="S229" s="2"/>
      <x:c r="T229" s="2"/>
      <x:c r="U229" s="2"/>
    </x:row>
    <x:row r="230" ht="26" customHeight="1">
      <x:c r="A230" s="2" t="str">
        <x:v>E09000014</x:v>
      </x:c>
      <x:c r="B230" s="2" t="str">
        <x:v>State-funded primary</x:v>
      </x:c>
      <x:c r="C230" s="2" t="str">
        <x:v>Haringey</x:v>
      </x:c>
      <x:c r="D230" s="11" t="n">
        <x:v>16431</x:v>
      </x:c>
      <x:c r="E230" s="11" t="n">
        <x:v>16068</x:v>
      </x:c>
      <x:c r="F230" s="11" t="n">
        <x:v>2468</x:v>
      </x:c>
      <x:c r="G230" s="11" t="n">
        <x:v>2395</x:v>
      </x:c>
      <x:c r="H230" s="11" t="n">
        <x:v>192</x:v>
      </x:c>
      <x:c r="I230" s="11" t="n">
        <x:v>192</x:v>
      </x:c>
      <x:c r="J230" s="11" t="n">
        <x:v>2279309</x:v>
      </x:c>
      <x:c r="K230" s="11" t="n">
        <x:v>2240280</x:v>
      </x:c>
      <x:c r="L230" s="11" t="n">
        <x:v>120742</x:v>
      </x:c>
      <x:c r="M230" s="11" t="n">
        <x:v>117278</x:v>
      </x:c>
      <x:c r="N230" s="11" t="n">
        <x:v>58931</x:v>
      </x:c>
      <x:c r="O230" s="11" t="n">
        <x:v>22388</x:v>
      </x:c>
      <x:c r="P230" s="11" t="n">
        <x:v>60</x:v>
      </x:c>
      <x:c r="Q230" s="2"/>
      <x:c r="R230" s="2"/>
      <x:c r="S230" s="2"/>
      <x:c r="T230" s="2"/>
      <x:c r="U230" s="2"/>
    </x:row>
    <x:row r="231" ht="26" customHeight="1">
      <x:c r="A231" s="2" t="str">
        <x:v>E09000014</x:v>
      </x:c>
      <x:c r="B231" s="2" t="str">
        <x:v>State-funded secondary</x:v>
      </x:c>
      <x:c r="C231" s="2" t="str">
        <x:v>Haringey</x:v>
      </x:c>
      <x:c r="D231" s="11" t="n">
        <x:v>13345</x:v>
      </x:c>
      <x:c r="E231" s="11" t="n">
        <x:v>12975</x:v>
      </x:c>
      <x:c r="F231" s="11" t="n">
        <x:v>2538</x:v>
      </x:c>
      <x:c r="G231" s="11" t="n">
        <x:v>2464</x:v>
      </x:c>
      <x:c r="H231" s="11" t="n">
        <x:v>298</x:v>
      </x:c>
      <x:c r="I231" s="11" t="n">
        <x:v>244</x:v>
      </x:c>
      <x:c r="J231" s="11" t="n">
        <x:v>1819600</x:v>
      </x:c>
      <x:c r="K231" s="11" t="n">
        <x:v>1723515</x:v>
      </x:c>
      <x:c r="L231" s="11" t="n">
        <x:v>120181</x:v>
      </x:c>
      <x:c r="M231" s="11" t="n">
        <x:v>113226</x:v>
      </x:c>
      <x:c r="N231" s="11" t="n">
        <x:v>58132</x:v>
      </x:c>
      <x:c r="O231" s="11" t="n">
        <x:v>30065</x:v>
      </x:c>
      <x:c r="P231" s="11" t="n">
        <x:v>12</x:v>
      </x:c>
      <x:c r="Q231" s="2"/>
      <x:c r="R231" s="2"/>
      <x:c r="S231" s="2"/>
      <x:c r="T231" s="2"/>
      <x:c r="U231" s="2"/>
    </x:row>
    <x:row r="232" ht="26" customHeight="1">
      <x:c r="A232" s="2" t="str">
        <x:v>E09000015</x:v>
      </x:c>
      <x:c r="B232" s="2" t="str">
        <x:v>State-funded primary</x:v>
      </x:c>
      <x:c r="C232" s="2" t="str">
        <x:v>Harrow</x:v>
      </x:c>
      <x:c r="D232" s="11" t="n">
        <x:v>18503</x:v>
      </x:c>
      <x:c r="E232" s="11" t="n">
        <x:v>18325</x:v>
      </x:c>
      <x:c r="F232" s="11" t="n">
        <x:v>2369</x:v>
      </x:c>
      <x:c r="G232" s="11" t="n">
        <x:v>2312</x:v>
      </x:c>
      <x:c r="H232" s="11" t="n">
        <x:v>154</x:v>
      </x:c>
      <x:c r="I232" s="11" t="n">
        <x:v>178</x:v>
      </x:c>
      <x:c r="J232" s="11" t="n">
        <x:v>2550324</x:v>
      </x:c>
      <x:c r="K232" s="11" t="n">
        <x:v>2533666</x:v>
      </x:c>
      <x:c r="L232" s="11" t="n">
        <x:v>118875</x:v>
      </x:c>
      <x:c r="M232" s="11" t="n">
        <x:v>119330</x:v>
      </x:c>
      <x:c r="N232" s="11" t="n">
        <x:v>70323</x:v>
      </x:c>
      <x:c r="O232" s="11" t="n">
        <x:v>14305</x:v>
      </x:c>
      <x:c r="P232" s="11" t="n">
        <x:v>40</x:v>
      </x:c>
      <x:c r="Q232" s="2"/>
      <x:c r="R232" s="2"/>
      <x:c r="S232" s="2"/>
      <x:c r="T232" s="2"/>
      <x:c r="U232" s="2"/>
    </x:row>
    <x:row r="233" ht="26" customHeight="1">
      <x:c r="A233" s="2" t="str">
        <x:v>E09000015</x:v>
      </x:c>
      <x:c r="B233" s="2" t="str">
        <x:v>State-funded secondary</x:v>
      </x:c>
      <x:c r="C233" s="2" t="str">
        <x:v>Harrow</x:v>
      </x:c>
      <x:c r="D233" s="11" t="n">
        <x:v>14153</x:v>
      </x:c>
      <x:c r="E233" s="11" t="n">
        <x:v>13914</x:v>
      </x:c>
      <x:c r="F233" s="11" t="n">
        <x:v>2355</x:v>
      </x:c>
      <x:c r="G233" s="11" t="n">
        <x:v>2418</x:v>
      </x:c>
      <x:c r="H233" s="11" t="n">
        <x:v>222</x:v>
      </x:c>
      <x:c r="I233" s="11" t="n">
        <x:v>273</x:v>
      </x:c>
      <x:c r="J233" s="11" t="n">
        <x:v>1878566</x:v>
      </x:c>
      <x:c r="K233" s="11" t="n">
        <x:v>1827057</x:v>
      </x:c>
      <x:c r="L233" s="11" t="n">
        <x:v>111233</x:v>
      </x:c>
      <x:c r="M233" s="11" t="n">
        <x:v>110957</x:v>
      </x:c>
      <x:c r="N233" s="11" t="n">
        <x:v>61992</x:v>
      </x:c>
      <x:c r="O233" s="11" t="n">
        <x:v>22015</x:v>
      </x:c>
      <x:c r="P233" s="11" t="n">
        <x:v>13</x:v>
      </x:c>
      <x:c r="Q233" s="2"/>
      <x:c r="R233" s="2"/>
      <x:c r="S233" s="2"/>
      <x:c r="T233" s="2"/>
      <x:c r="U233" s="2"/>
    </x:row>
    <x:row r="234" ht="26" customHeight="1">
      <x:c r="A234" s="2" t="str">
        <x:v>E09000016</x:v>
      </x:c>
      <x:c r="B234" s="2" t="str">
        <x:v>State-funded primary</x:v>
      </x:c>
      <x:c r="C234" s="2" t="str">
        <x:v>Havering</x:v>
      </x:c>
      <x:c r="D234" s="11" t="n">
        <x:v>21297</x:v>
      </x:c>
      <x:c r="E234" s="11" t="n">
        <x:v>21245</x:v>
      </x:c>
      <x:c r="F234" s="11" t="n">
        <x:v>2694</x:v>
      </x:c>
      <x:c r="G234" s="11" t="n">
        <x:v>2970</x:v>
      </x:c>
      <x:c r="H234" s="11" t="n">
        <x:v>146</x:v>
      </x:c>
      <x:c r="I234" s="11" t="n">
        <x:v>172</x:v>
      </x:c>
      <x:c r="J234" s="11" t="n">
        <x:v>2990084</x:v>
      </x:c>
      <x:c r="K234" s="11" t="n">
        <x:v>2967579</x:v>
      </x:c>
      <x:c r="L234" s="11" t="n">
        <x:v>138243</x:v>
      </x:c>
      <x:c r="M234" s="11" t="n">
        <x:v>146457</x:v>
      </x:c>
      <x:c r="N234" s="11" t="n">
        <x:v>95102</x:v>
      </x:c>
      <x:c r="O234" s="11" t="n">
        <x:v>14146</x:v>
      </x:c>
      <x:c r="P234" s="11" t="n">
        <x:v>58</x:v>
      </x:c>
      <x:c r="Q234" s="2"/>
      <x:c r="R234" s="2"/>
      <x:c r="S234" s="2"/>
      <x:c r="T234" s="2"/>
      <x:c r="U234" s="2"/>
    </x:row>
    <x:row r="235" ht="26" customHeight="1">
      <x:c r="A235" s="2" t="str">
        <x:v>E09000016</x:v>
      </x:c>
      <x:c r="B235" s="2" t="str">
        <x:v>State-funded secondary</x:v>
      </x:c>
      <x:c r="C235" s="2" t="str">
        <x:v>Havering</x:v>
      </x:c>
      <x:c r="D235" s="11" t="n">
        <x:v>16149</x:v>
      </x:c>
      <x:c r="E235" s="11" t="n">
        <x:v>16205</x:v>
      </x:c>
      <x:c r="F235" s="11" t="n">
        <x:v>2759</x:v>
      </x:c>
      <x:c r="G235" s="11" t="n">
        <x:v>2926</x:v>
      </x:c>
      <x:c r="H235" s="11" t="n">
        <x:v>368</x:v>
      </x:c>
      <x:c r="I235" s="11" t="n">
        <x:v>323</x:v>
      </x:c>
      <x:c r="J235" s="11" t="n">
        <x:v>2205297</x:v>
      </x:c>
      <x:c r="K235" s="11" t="n">
        <x:v>2198957</x:v>
      </x:c>
      <x:c r="L235" s="11" t="n">
        <x:v>142852</x:v>
      </x:c>
      <x:c r="M235" s="11" t="n">
        <x:v>143538</x:v>
      </x:c>
      <x:c r="N235" s="11" t="n">
        <x:v>78612</x:v>
      </x:c>
      <x:c r="O235" s="11" t="n">
        <x:v>33345</x:v>
      </x:c>
      <x:c r="P235" s="11" t="n">
        <x:v>18</x:v>
      </x:c>
      <x:c r="Q235" s="2"/>
      <x:c r="R235" s="2"/>
      <x:c r="S235" s="2"/>
      <x:c r="T235" s="2"/>
      <x:c r="U235" s="2"/>
    </x:row>
    <x:row r="236" ht="26" customHeight="1">
      <x:c r="A236" s="2" t="str">
        <x:v>E09000017</x:v>
      </x:c>
      <x:c r="B236" s="2" t="str">
        <x:v>State-funded primary</x:v>
      </x:c>
      <x:c r="C236" s="2" t="str">
        <x:v>Hillingdon</x:v>
      </x:c>
      <x:c r="D236" s="11" t="n">
        <x:v>23270</x:v>
      </x:c>
      <x:c r="E236" s="11" t="n">
        <x:v>22396</x:v>
      </x:c>
      <x:c r="F236" s="11" t="n">
        <x:v>3854</x:v>
      </x:c>
      <x:c r="G236" s="11" t="n">
        <x:v>3539</x:v>
      </x:c>
      <x:c r="H236" s="11" t="n">
        <x:v>245</x:v>
      </x:c>
      <x:c r="I236" s="11" t="n">
        <x:v>312</x:v>
      </x:c>
      <x:c r="J236" s="11" t="n">
        <x:v>3241314</x:v>
      </x:c>
      <x:c r="K236" s="11" t="n">
        <x:v>3078517</x:v>
      </x:c>
      <x:c r="L236" s="11" t="n">
        <x:v>182822</x:v>
      </x:c>
      <x:c r="M236" s="11" t="n">
        <x:v>170690</x:v>
      </x:c>
      <x:c r="N236" s="11" t="n">
        <x:v>98472</x:v>
      </x:c>
      <x:c r="O236" s="11" t="n">
        <x:v>26471</x:v>
      </x:c>
      <x:c r="P236" s="11" t="n">
        <x:v>66</x:v>
      </x:c>
      <x:c r="Q236" s="2"/>
      <x:c r="R236" s="2"/>
      <x:c r="S236" s="2"/>
      <x:c r="T236" s="2"/>
      <x:c r="U236" s="2"/>
    </x:row>
    <x:row r="237" ht="26" customHeight="1">
      <x:c r="A237" s="2" t="str">
        <x:v>E09000017</x:v>
      </x:c>
      <x:c r="B237" s="2" t="str">
        <x:v>State-funded secondary</x:v>
      </x:c>
      <x:c r="C237" s="2" t="str">
        <x:v>Hillingdon</x:v>
      </x:c>
      <x:c r="D237" s="11" t="n">
        <x:v>18791</x:v>
      </x:c>
      <x:c r="E237" s="11" t="n">
        <x:v>18644</x:v>
      </x:c>
      <x:c r="F237" s="11" t="n">
        <x:v>3616</x:v>
      </x:c>
      <x:c r="G237" s="11" t="n">
        <x:v>3816</x:v>
      </x:c>
      <x:c r="H237" s="11" t="n">
        <x:v>373</x:v>
      </x:c>
      <x:c r="I237" s="11" t="n">
        <x:v>439</x:v>
      </x:c>
      <x:c r="J237" s="11" t="n">
        <x:v>2551291</x:v>
      </x:c>
      <x:c r="K237" s="11" t="n">
        <x:v>2498682</x:v>
      </x:c>
      <x:c r="L237" s="11" t="n">
        <x:v>174784</x:v>
      </x:c>
      <x:c r="M237" s="11" t="n">
        <x:v>180361</x:v>
      </x:c>
      <x:c r="N237" s="11" t="n">
        <x:v>97250</x:v>
      </x:c>
      <x:c r="O237" s="11" t="n">
        <x:v>43833</x:v>
      </x:c>
      <x:c r="P237" s="11" t="n">
        <x:v>22</x:v>
      </x:c>
      <x:c r="Q237" s="2"/>
      <x:c r="R237" s="2"/>
      <x:c r="S237" s="2"/>
      <x:c r="T237" s="2"/>
      <x:c r="U237" s="2"/>
    </x:row>
    <x:row r="238" ht="26" customHeight="1">
      <x:c r="A238" s="2" t="str">
        <x:v>E09000018</x:v>
      </x:c>
      <x:c r="B238" s="2" t="str">
        <x:v>State-funded primary</x:v>
      </x:c>
      <x:c r="C238" s="2" t="str">
        <x:v>Hounslow</x:v>
      </x:c>
      <x:c r="D238" s="11" t="n">
        <x:v>18691</x:v>
      </x:c>
      <x:c r="E238" s="11" t="n">
        <x:v>18094</x:v>
      </x:c>
      <x:c r="F238" s="11" t="n">
        <x:v>2983</x:v>
      </x:c>
      <x:c r="G238" s="11" t="n">
        <x:v>2874</x:v>
      </x:c>
      <x:c r="H238" s="11" t="n">
        <x:v>139</x:v>
      </x:c>
      <x:c r="I238" s="11" t="n">
        <x:v>154</x:v>
      </x:c>
      <x:c r="J238" s="11" t="n">
        <x:v>2600775</x:v>
      </x:c>
      <x:c r="K238" s="11" t="n">
        <x:v>2509480</x:v>
      </x:c>
      <x:c r="L238" s="11" t="n">
        <x:v>141581</x:v>
      </x:c>
      <x:c r="M238" s="11" t="n">
        <x:v>135312</x:v>
      </x:c>
      <x:c r="N238" s="11" t="n">
        <x:v>74477</x:v>
      </x:c>
      <x:c r="O238" s="11" t="n">
        <x:v>20085</x:v>
      </x:c>
      <x:c r="P238" s="11" t="n">
        <x:v>49</x:v>
      </x:c>
      <x:c r="Q238" s="2"/>
      <x:c r="R238" s="2"/>
      <x:c r="S238" s="2"/>
      <x:c r="T238" s="2"/>
      <x:c r="U238" s="2"/>
    </x:row>
    <x:row r="239" ht="26" customHeight="1">
      <x:c r="A239" s="2" t="str">
        <x:v>E09000018</x:v>
      </x:c>
      <x:c r="B239" s="2" t="str">
        <x:v>State-funded secondary</x:v>
      </x:c>
      <x:c r="C239" s="2" t="str">
        <x:v>Hounslow</x:v>
      </x:c>
      <x:c r="D239" s="11" t="n">
        <x:v>17496</x:v>
      </x:c>
      <x:c r="E239" s="11" t="n">
        <x:v>17402</x:v>
      </x:c>
      <x:c r="F239" s="11" t="n">
        <x:v>3216</x:v>
      </x:c>
      <x:c r="G239" s="11" t="n">
        <x:v>3095</x:v>
      </x:c>
      <x:c r="H239" s="11" t="n">
        <x:v>296</x:v>
      </x:c>
      <x:c r="I239" s="11" t="n">
        <x:v>334</x:v>
      </x:c>
      <x:c r="J239" s="11" t="n">
        <x:v>2336194</x:v>
      </x:c>
      <x:c r="K239" s="11" t="n">
        <x:v>2306018</x:v>
      </x:c>
      <x:c r="L239" s="11" t="n">
        <x:v>147821</x:v>
      </x:c>
      <x:c r="M239" s="11" t="n">
        <x:v>147082</x:v>
      </x:c>
      <x:c r="N239" s="11" t="n">
        <x:v>69201</x:v>
      </x:c>
      <x:c r="O239" s="11" t="n">
        <x:v>42046</x:v>
      </x:c>
      <x:c r="P239" s="11" t="n">
        <x:v>21</x:v>
      </x:c>
      <x:c r="Q239" s="2"/>
      <x:c r="R239" s="2"/>
      <x:c r="S239" s="2"/>
      <x:c r="T239" s="2"/>
      <x:c r="U239" s="2"/>
    </x:row>
    <x:row r="240" ht="26" customHeight="1">
      <x:c r="A240" s="2" t="str">
        <x:v>E09000019</x:v>
      </x:c>
      <x:c r="B240" s="2" t="str">
        <x:v>State-funded primary</x:v>
      </x:c>
      <x:c r="C240" s="2" t="str">
        <x:v>Islington</x:v>
      </x:c>
      <x:c r="D240" s="11" t="n">
        <x:v>10231</x:v>
      </x:c>
      <x:c r="E240" s="11" t="n">
        <x:v>9913</x:v>
      </x:c>
      <x:c r="F240" s="11" t="n">
        <x:v>1793</x:v>
      </x:c>
      <x:c r="G240" s="11" t="n">
        <x:v>1783</x:v>
      </x:c>
      <x:c r="H240" s="11" t="n">
        <x:v>96</x:v>
      </x:c>
      <x:c r="I240" s="11" t="n">
        <x:v>106</x:v>
      </x:c>
      <x:c r="J240" s="11" t="n">
        <x:v>1439731</x:v>
      </x:c>
      <x:c r="K240" s="11" t="n">
        <x:v>1392328</x:v>
      </x:c>
      <x:c r="L240" s="11" t="n">
        <x:v>83619</x:v>
      </x:c>
      <x:c r="M240" s="11" t="n">
        <x:v>81728</x:v>
      </x:c>
      <x:c r="N240" s="11" t="n">
        <x:v>43886</x:v>
      </x:c>
      <x:c r="O240" s="11" t="n">
        <x:v>17866</x:v>
      </x:c>
      <x:c r="P240" s="11" t="n">
        <x:v>40</x:v>
      </x:c>
      <x:c r="Q240" s="2"/>
      <x:c r="R240" s="2"/>
      <x:c r="S240" s="2"/>
      <x:c r="T240" s="2"/>
      <x:c r="U240" s="2"/>
    </x:row>
    <x:row r="241" ht="26" customHeight="1">
      <x:c r="A241" s="2" t="str">
        <x:v>E09000019</x:v>
      </x:c>
      <x:c r="B241" s="2" t="str">
        <x:v>State-funded secondary</x:v>
      </x:c>
      <x:c r="C241" s="2" t="str">
        <x:v>Islington</x:v>
      </x:c>
      <x:c r="D241" s="11" t="n">
        <x:v>7465</x:v>
      </x:c>
      <x:c r="E241" s="11" t="n">
        <x:v>7218</x:v>
      </x:c>
      <x:c r="F241" s="11" t="n">
        <x:v>1679</x:v>
      </x:c>
      <x:c r="G241" s="11" t="n">
        <x:v>1529</x:v>
      </x:c>
      <x:c r="H241" s="11" t="n">
        <x:v>268</x:v>
      </x:c>
      <x:c r="I241" s="11" t="n">
        <x:v>238</x:v>
      </x:c>
      <x:c r="J241" s="11" t="n">
        <x:v>1000399</x:v>
      </x:c>
      <x:c r="K241" s="11" t="n">
        <x:v>965687</x:v>
      </x:c>
      <x:c r="L241" s="11" t="n">
        <x:v>82190</x:v>
      </x:c>
      <x:c r="M241" s="11" t="n">
        <x:v>75308</x:v>
      </x:c>
      <x:c r="N241" s="11" t="n">
        <x:v>22257</x:v>
      </x:c>
      <x:c r="O241" s="11" t="n">
        <x:v>37979</x:v>
      </x:c>
      <x:c r="P241" s="11" t="n">
        <x:v>10</x:v>
      </x:c>
      <x:c r="Q241" s="2"/>
      <x:c r="R241" s="2"/>
      <x:c r="S241" s="2"/>
      <x:c r="T241" s="2"/>
      <x:c r="U241" s="2"/>
    </x:row>
    <x:row r="242" ht="26" customHeight="1">
      <x:c r="A242" s="2" t="str">
        <x:v>E09000020</x:v>
      </x:c>
      <x:c r="B242" s="2" t="str">
        <x:v>State-funded primary</x:v>
      </x:c>
      <x:c r="C242" s="2" t="str">
        <x:v>Kensington and Chelsea</x:v>
      </x:c>
      <x:c r="D242" s="11" t="n">
        <x:v>5410</x:v>
      </x:c>
      <x:c r="E242" s="11" t="n">
        <x:v>5272</x:v>
      </x:c>
      <x:c r="F242" s="11" t="n">
        <x:v>923</x:v>
      </x:c>
      <x:c r="G242" s="11" t="n">
        <x:v>913</x:v>
      </x:c>
      <x:c r="H242" s="11" t="n">
        <x:v>67</x:v>
      </x:c>
      <x:c r="I242" s="11" t="n">
        <x:v>80</x:v>
      </x:c>
      <x:c r="J242" s="11" t="n">
        <x:v>757046</x:v>
      </x:c>
      <x:c r="K242" s="11" t="n">
        <x:v>737014</x:v>
      </x:c>
      <x:c r="L242" s="11" t="n">
        <x:v>43409</x:v>
      </x:c>
      <x:c r="M242" s="11" t="n">
        <x:v>43690</x:v>
      </x:c>
      <x:c r="N242" s="11" t="n">
        <x:v>24236</x:v>
      </x:c>
      <x:c r="O242" s="11" t="n">
        <x:v>6607</x:v>
      </x:c>
      <x:c r="P242" s="11" t="n">
        <x:v>26</x:v>
      </x:c>
      <x:c r="Q242" s="2"/>
      <x:c r="R242" s="2"/>
      <x:c r="S242" s="2"/>
      <x:c r="T242" s="2"/>
      <x:c r="U242" s="2"/>
    </x:row>
    <x:row r="243" ht="26" customHeight="1">
      <x:c r="A243" s="2" t="str">
        <x:v>E09000020</x:v>
      </x:c>
      <x:c r="B243" s="2" t="str">
        <x:v>State-funded secondary</x:v>
      </x:c>
      <x:c r="C243" s="2" t="str">
        <x:v>Kensington and Chelsea</x:v>
      </x:c>
      <x:c r="D243" s="11" t="n">
        <x:v>5121</x:v>
      </x:c>
      <x:c r="E243" s="11" t="n">
        <x:v>5175</x:v>
      </x:c>
      <x:c r="F243" s="11" t="n">
        <x:v>1097</x:v>
      </x:c>
      <x:c r="G243" s="11" t="n">
        <x:v>1029</x:v>
      </x:c>
      <x:c r="H243" s="11" t="n">
        <x:v>135</x:v>
      </x:c>
      <x:c r="I243" s="11" t="n">
        <x:v>129</x:v>
      </x:c>
      <x:c r="J243" s="11" t="n">
        <x:v>690835</x:v>
      </x:c>
      <x:c r="K243" s="11" t="n">
        <x:v>693538</x:v>
      </x:c>
      <x:c r="L243" s="11" t="n">
        <x:v>50924</x:v>
      </x:c>
      <x:c r="M243" s="11" t="n">
        <x:v>48960</x:v>
      </x:c>
      <x:c r="N243" s="11" t="n">
        <x:v>19447</x:v>
      </x:c>
      <x:c r="O243" s="11" t="n">
        <x:v>15866</x:v>
      </x:c>
      <x:c r="P243" s="11" t="n">
        <x:v>6</x:v>
      </x:c>
      <x:c r="Q243" s="2"/>
      <x:c r="R243" s="2"/>
      <x:c r="S243" s="2"/>
      <x:c r="T243" s="2"/>
      <x:c r="U243" s="2"/>
    </x:row>
    <x:row r="244" ht="26" customHeight="1">
      <x:c r="A244" s="2" t="str">
        <x:v>E09000021</x:v>
      </x:c>
      <x:c r="B244" s="2" t="str">
        <x:v>State-funded primary</x:v>
      </x:c>
      <x:c r="C244" s="2" t="str">
        <x:v>Kingston upon Thames</x:v>
      </x:c>
      <x:c r="D244" s="11" t="n">
        <x:v>11042</x:v>
      </x:c>
      <x:c r="E244" s="11" t="n">
        <x:v>10627</x:v>
      </x:c>
      <x:c r="F244" s="11" t="n">
        <x:v>1379</x:v>
      </x:c>
      <x:c r="G244" s="11" t="n">
        <x:v>1324</x:v>
      </x:c>
      <x:c r="H244" s="11" t="n">
        <x:v>80</x:v>
      </x:c>
      <x:c r="I244" s="11" t="n">
        <x:v>80</x:v>
      </x:c>
      <x:c r="J244" s="11" t="n">
        <x:v>1563059</x:v>
      </x:c>
      <x:c r="K244" s="11" t="n">
        <x:v>1498745</x:v>
      </x:c>
      <x:c r="L244" s="11" t="n">
        <x:v>73244</x:v>
      </x:c>
      <x:c r="M244" s="11" t="n">
        <x:v>67736</x:v>
      </x:c>
      <x:c r="N244" s="11" t="n">
        <x:v>38155</x:v>
      </x:c>
      <x:c r="O244" s="11" t="n">
        <x:v>10015</x:v>
      </x:c>
      <x:c r="P244" s="11" t="n">
        <x:v>35</x:v>
      </x:c>
      <x:c r="Q244" s="2"/>
      <x:c r="R244" s="2"/>
      <x:c r="S244" s="2"/>
      <x:c r="T244" s="2"/>
      <x:c r="U244" s="2"/>
    </x:row>
    <x:row r="245" ht="26" customHeight="1">
      <x:c r="A245" s="2" t="str">
        <x:v>E09000021</x:v>
      </x:c>
      <x:c r="B245" s="2" t="str">
        <x:v>State-funded secondary</x:v>
      </x:c>
      <x:c r="C245" s="2" t="str">
        <x:v>Kingston upon Thames</x:v>
      </x:c>
      <x:c r="D245" s="11" t="n">
        <x:v>10141</x:v>
      </x:c>
      <x:c r="E245" s="11" t="n">
        <x:v>10058</x:v>
      </x:c>
      <x:c r="F245" s="11" t="n">
        <x:v>1516</x:v>
      </x:c>
      <x:c r="G245" s="11" t="n">
        <x:v>1402</x:v>
      </x:c>
      <x:c r="H245" s="11" t="n">
        <x:v>193</x:v>
      </x:c>
      <x:c r="I245" s="11" t="n">
        <x:v>151</x:v>
      </x:c>
      <x:c r="J245" s="11" t="n">
        <x:v>1353727</x:v>
      </x:c>
      <x:c r="K245" s="11" t="n">
        <x:v>1323924</x:v>
      </x:c>
      <x:c r="L245" s="11" t="n">
        <x:v>78045</x:v>
      </x:c>
      <x:c r="M245" s="11" t="n">
        <x:v>73580</x:v>
      </x:c>
      <x:c r="N245" s="11" t="n">
        <x:v>39612</x:v>
      </x:c>
      <x:c r="O245" s="11" t="n">
        <x:v>17585</x:v>
      </x:c>
      <x:c r="P245" s="11" t="n">
        <x:v>11</x:v>
      </x:c>
      <x:c r="Q245" s="2"/>
      <x:c r="R245" s="2"/>
      <x:c r="S245" s="2"/>
      <x:c r="T245" s="2"/>
      <x:c r="U245" s="2"/>
    </x:row>
    <x:row r="246" ht="26" customHeight="1">
      <x:c r="A246" s="2" t="str">
        <x:v>E09000022</x:v>
      </x:c>
      <x:c r="B246" s="2" t="str">
        <x:v>State-funded primary</x:v>
      </x:c>
      <x:c r="C246" s="2" t="str">
        <x:v>Lambeth</x:v>
      </x:c>
      <x:c r="D246" s="11" t="n">
        <x:v>15138</x:v>
      </x:c>
      <x:c r="E246" s="11" t="n">
        <x:v>14527</x:v>
      </x:c>
      <x:c r="F246" s="11" t="n">
        <x:v>2539</x:v>
      </x:c>
      <x:c r="G246" s="11" t="n">
        <x:v>2408</x:v>
      </x:c>
      <x:c r="H246" s="11" t="n">
        <x:v>162</x:v>
      </x:c>
      <x:c r="I246" s="11" t="n">
        <x:v>156</x:v>
      </x:c>
      <x:c r="J246" s="11" t="n">
        <x:v>2109760</x:v>
      </x:c>
      <x:c r="K246" s="11" t="n">
        <x:v>2014335</x:v>
      </x:c>
      <x:c r="L246" s="11" t="n">
        <x:v>116822</x:v>
      </x:c>
      <x:c r="M246" s="11" t="n">
        <x:v>109364</x:v>
      </x:c>
      <x:c r="N246" s="11" t="n">
        <x:v>53705</x:v>
      </x:c>
      <x:c r="O246" s="11" t="n">
        <x:v>22069</x:v>
      </x:c>
      <x:c r="P246" s="11" t="n">
        <x:v>58</x:v>
      </x:c>
      <x:c r="Q246" s="2"/>
      <x:c r="R246" s="2"/>
      <x:c r="S246" s="2"/>
      <x:c r="T246" s="2"/>
      <x:c r="U246" s="2"/>
    </x:row>
    <x:row r="247" ht="26" customHeight="1">
      <x:c r="A247" s="2" t="str">
        <x:v>E09000022</x:v>
      </x:c>
      <x:c r="B247" s="2" t="str">
        <x:v>State-funded secondary</x:v>
      </x:c>
      <x:c r="C247" s="2" t="str">
        <x:v>Lambeth</x:v>
      </x:c>
      <x:c r="D247" s="11" t="n">
        <x:v>12170</x:v>
      </x:c>
      <x:c r="E247" s="11" t="n">
        <x:v>12265</x:v>
      </x:c>
      <x:c r="F247" s="11" t="n">
        <x:v>2328</x:v>
      </x:c>
      <x:c r="G247" s="11" t="n">
        <x:v>2403</x:v>
      </x:c>
      <x:c r="H247" s="11" t="n">
        <x:v>268</x:v>
      </x:c>
      <x:c r="I247" s="11" t="n">
        <x:v>272</x:v>
      </x:c>
      <x:c r="J247" s="11" t="n">
        <x:v>1638232</x:v>
      </x:c>
      <x:c r="K247" s="11" t="n">
        <x:v>1648096</x:v>
      </x:c>
      <x:c r="L247" s="11" t="n">
        <x:v>108183</x:v>
      </x:c>
      <x:c r="M247" s="11" t="n">
        <x:v>112045</x:v>
      </x:c>
      <x:c r="N247" s="11" t="n">
        <x:v>50042</x:v>
      </x:c>
      <x:c r="O247" s="11" t="n">
        <x:v>32932</x:v>
      </x:c>
      <x:c r="P247" s="11" t="n">
        <x:v>16</x:v>
      </x:c>
      <x:c r="Q247" s="2"/>
      <x:c r="R247" s="2"/>
      <x:c r="S247" s="2"/>
      <x:c r="T247" s="2"/>
      <x:c r="U247" s="2"/>
    </x:row>
    <x:row r="248" ht="26" customHeight="1">
      <x:c r="A248" s="2" t="str">
        <x:v>E09000023</x:v>
      </x:c>
      <x:c r="B248" s="2" t="str">
        <x:v>State-funded primary</x:v>
      </x:c>
      <x:c r="C248" s="2" t="str">
        <x:v>Lewisham</x:v>
      </x:c>
      <x:c r="D248" s="11" t="n">
        <x:v>18269</x:v>
      </x:c>
      <x:c r="E248" s="11" t="n">
        <x:v>17769</x:v>
      </x:c>
      <x:c r="F248" s="11" t="n">
        <x:v>2731</x:v>
      </x:c>
      <x:c r="G248" s="11" t="n">
        <x:v>2628</x:v>
      </x:c>
      <x:c r="H248" s="11" t="n">
        <x:v>194</x:v>
      </x:c>
      <x:c r="I248" s="11" t="n">
        <x:v>214</x:v>
      </x:c>
      <x:c r="J248" s="11" t="n">
        <x:v>2563621</x:v>
      </x:c>
      <x:c r="K248" s="11" t="n">
        <x:v>2490896</x:v>
      </x:c>
      <x:c r="L248" s="11" t="n">
        <x:v>132702</x:v>
      </x:c>
      <x:c r="M248" s="11" t="n">
        <x:v>126951</x:v>
      </x:c>
      <x:c r="N248" s="11" t="n">
        <x:v>63197</x:v>
      </x:c>
      <x:c r="O248" s="11" t="n">
        <x:v>24759</x:v>
      </x:c>
      <x:c r="P248" s="11" t="n">
        <x:v>64</x:v>
      </x:c>
      <x:c r="Q248" s="2"/>
      <x:c r="R248" s="2"/>
      <x:c r="S248" s="2"/>
      <x:c r="T248" s="2"/>
      <x:c r="U248" s="2"/>
    </x:row>
    <x:row r="249" ht="26" customHeight="1">
      <x:c r="A249" s="2" t="str">
        <x:v>E09000023</x:v>
      </x:c>
      <x:c r="B249" s="2" t="str">
        <x:v>State-funded secondary</x:v>
      </x:c>
      <x:c r="C249" s="2" t="str">
        <x:v>Lewisham</x:v>
      </x:c>
      <x:c r="D249" s="11" t="n">
        <x:v>13005</x:v>
      </x:c>
      <x:c r="E249" s="11" t="n">
        <x:v>12936</x:v>
      </x:c>
      <x:c r="F249" s="11" t="n">
        <x:v>2389</x:v>
      </x:c>
      <x:c r="G249" s="11" t="n">
        <x:v>2155</x:v>
      </x:c>
      <x:c r="H249" s="11" t="n">
        <x:v>261</x:v>
      </x:c>
      <x:c r="I249" s="11" t="n">
        <x:v>203</x:v>
      </x:c>
      <x:c r="J249" s="11" t="n">
        <x:v>1768624</x:v>
      </x:c>
      <x:c r="K249" s="11" t="n">
        <x:v>1750534</x:v>
      </x:c>
      <x:c r="L249" s="11" t="n">
        <x:v>113727</x:v>
      </x:c>
      <x:c r="M249" s="11" t="n">
        <x:v>107340</x:v>
      </x:c>
      <x:c r="N249" s="11" t="n">
        <x:v>46281</x:v>
      </x:c>
      <x:c r="O249" s="11" t="n">
        <x:v>38412</x:v>
      </x:c>
      <x:c r="P249" s="11" t="n">
        <x:v>14</x:v>
      </x:c>
      <x:c r="Q249" s="2"/>
      <x:c r="R249" s="2"/>
      <x:c r="S249" s="2"/>
      <x:c r="T249" s="2"/>
      <x:c r="U249" s="2"/>
    </x:row>
    <x:row r="250" ht="26" customHeight="1">
      <x:c r="A250" s="2" t="str">
        <x:v>E09000024</x:v>
      </x:c>
      <x:c r="B250" s="2" t="str">
        <x:v>State-funded primary</x:v>
      </x:c>
      <x:c r="C250" s="2" t="str">
        <x:v>Merton</x:v>
      </x:c>
      <x:c r="D250" s="11" t="n">
        <x:v>12977</x:v>
      </x:c>
      <x:c r="E250" s="11" t="n">
        <x:v>12455</x:v>
      </x:c>
      <x:c r="F250" s="11" t="n">
        <x:v>1728</x:v>
      </x:c>
      <x:c r="G250" s="11" t="n">
        <x:v>1631</x:v>
      </x:c>
      <x:c r="H250" s="11" t="n">
        <x:v>78</x:v>
      </x:c>
      <x:c r="I250" s="11" t="n">
        <x:v>99</x:v>
      </x:c>
      <x:c r="J250" s="11" t="n">
        <x:v>1813581</x:v>
      </x:c>
      <x:c r="K250" s="11" t="n">
        <x:v>1751661</x:v>
      </x:c>
      <x:c r="L250" s="11" t="n">
        <x:v>87481</x:v>
      </x:c>
      <x:c r="M250" s="11" t="n">
        <x:v>81174</x:v>
      </x:c>
      <x:c r="N250" s="11" t="n">
        <x:v>48154</x:v>
      </x:c>
      <x:c r="O250" s="11" t="n">
        <x:v>12642</x:v>
      </x:c>
      <x:c r="P250" s="11" t="n">
        <x:v>43</x:v>
      </x:c>
      <x:c r="Q250" s="2"/>
      <x:c r="R250" s="2"/>
      <x:c r="S250" s="2"/>
      <x:c r="T250" s="2"/>
      <x:c r="U250" s="2"/>
    </x:row>
    <x:row r="251" ht="26" customHeight="1">
      <x:c r="A251" s="2" t="str">
        <x:v>E09000024</x:v>
      </x:c>
      <x:c r="B251" s="2" t="str">
        <x:v>State-funded secondary</x:v>
      </x:c>
      <x:c r="C251" s="2" t="str">
        <x:v>Merton</x:v>
      </x:c>
      <x:c r="D251" s="11" t="n">
        <x:v>9273</x:v>
      </x:c>
      <x:c r="E251" s="11" t="n">
        <x:v>9219</x:v>
      </x:c>
      <x:c r="F251" s="11" t="n">
        <x:v>1560</x:v>
      </x:c>
      <x:c r="G251" s="11" t="n">
        <x:v>1511</x:v>
      </x:c>
      <x:c r="H251" s="11" t="n">
        <x:v>170</x:v>
      </x:c>
      <x:c r="I251" s="11" t="n">
        <x:v>161</x:v>
      </x:c>
      <x:c r="J251" s="11" t="n">
        <x:v>1249658</x:v>
      </x:c>
      <x:c r="K251" s="11" t="n">
        <x:v>1251070</x:v>
      </x:c>
      <x:c r="L251" s="11" t="n">
        <x:v>74568</x:v>
      </x:c>
      <x:c r="M251" s="11" t="n">
        <x:v>75787</x:v>
      </x:c>
      <x:c r="N251" s="11" t="n">
        <x:v>39012</x:v>
      </x:c>
      <x:c r="O251" s="11" t="n">
        <x:v>22190</x:v>
      </x:c>
      <x:c r="P251" s="11" t="n">
        <x:v>9</x:v>
      </x:c>
      <x:c r="Q251" s="2"/>
      <x:c r="R251" s="2"/>
      <x:c r="S251" s="2"/>
      <x:c r="T251" s="2"/>
      <x:c r="U251" s="2"/>
    </x:row>
    <x:row r="252" ht="26" customHeight="1">
      <x:c r="A252" s="2" t="str">
        <x:v>E09000025</x:v>
      </x:c>
      <x:c r="B252" s="2" t="str">
        <x:v>State-funded primary</x:v>
      </x:c>
      <x:c r="C252" s="2" t="str">
        <x:v>Newham</x:v>
      </x:c>
      <x:c r="D252" s="11" t="n">
        <x:v>27130</x:v>
      </x:c>
      <x:c r="E252" s="11" t="n">
        <x:v>26113</x:v>
      </x:c>
      <x:c r="F252" s="11" t="n">
        <x:v>4713</x:v>
      </x:c>
      <x:c r="G252" s="11" t="n">
        <x:v>4638</x:v>
      </x:c>
      <x:c r="H252" s="11" t="n">
        <x:v>509</x:v>
      </x:c>
      <x:c r="I252" s="11" t="n">
        <x:v>497</x:v>
      </x:c>
      <x:c r="J252" s="11" t="n">
        <x:v>3688504</x:v>
      </x:c>
      <x:c r="K252" s="11" t="n">
        <x:v>3532281</x:v>
      </x:c>
      <x:c r="L252" s="11" t="n">
        <x:v>205663</x:v>
      </x:c>
      <x:c r="M252" s="11" t="n">
        <x:v>203553</x:v>
      </x:c>
      <x:c r="N252" s="11" t="n">
        <x:v>98454</x:v>
      </x:c>
      <x:c r="O252" s="11" t="n">
        <x:v>52316</x:v>
      </x:c>
      <x:c r="P252" s="11" t="n">
        <x:v>68</x:v>
      </x:c>
      <x:c r="Q252" s="2"/>
      <x:c r="R252" s="2"/>
      <x:c r="S252" s="2"/>
      <x:c r="T252" s="2"/>
      <x:c r="U252" s="2"/>
    </x:row>
    <x:row r="253" ht="26" customHeight="1">
      <x:c r="A253" s="2" t="str">
        <x:v>E09000025</x:v>
      </x:c>
      <x:c r="B253" s="2" t="str">
        <x:v>State-funded secondary</x:v>
      </x:c>
      <x:c r="C253" s="2" t="str">
        <x:v>Newham</x:v>
      </x:c>
      <x:c r="D253" s="11" t="n">
        <x:v>24998</x:v>
      </x:c>
      <x:c r="E253" s="11" t="n">
        <x:v>24457</x:v>
      </x:c>
      <x:c r="F253" s="11" t="n">
        <x:v>4363</x:v>
      </x:c>
      <x:c r="G253" s="11" t="n">
        <x:v>4623</x:v>
      </x:c>
      <x:c r="H253" s="11" t="n">
        <x:v>568</x:v>
      </x:c>
      <x:c r="I253" s="11" t="n">
        <x:v>554</x:v>
      </x:c>
      <x:c r="J253" s="11" t="n">
        <x:v>3419799</x:v>
      </x:c>
      <x:c r="K253" s="11" t="n">
        <x:v>3299457</x:v>
      </x:c>
      <x:c r="L253" s="11" t="n">
        <x:v>209586</x:v>
      </x:c>
      <x:c r="M253" s="11" t="n">
        <x:v>215307</x:v>
      </x:c>
      <x:c r="N253" s="11" t="n">
        <x:v>90863</x:v>
      </x:c>
      <x:c r="O253" s="11" t="n">
        <x:v>72982</x:v>
      </x:c>
      <x:c r="P253" s="11" t="n">
        <x:v>21</x:v>
      </x:c>
      <x:c r="Q253" s="2"/>
      <x:c r="R253" s="2"/>
      <x:c r="S253" s="2"/>
      <x:c r="T253" s="2"/>
      <x:c r="U253" s="2"/>
    </x:row>
    <x:row r="254" ht="26" customHeight="1">
      <x:c r="A254" s="2" t="str">
        <x:v>E09000026</x:v>
      </x:c>
      <x:c r="B254" s="2" t="str">
        <x:v>State-funded primary</x:v>
      </x:c>
      <x:c r="C254" s="2" t="str">
        <x:v>Redbridge</x:v>
      </x:c>
      <x:c r="D254" s="11" t="n">
        <x:v>23527</x:v>
      </x:c>
      <x:c r="E254" s="11" t="n">
        <x:v>22977</x:v>
      </x:c>
      <x:c r="F254" s="11" t="n">
        <x:v>3664</x:v>
      </x:c>
      <x:c r="G254" s="11" t="n">
        <x:v>3740</x:v>
      </x:c>
      <x:c r="H254" s="11" t="n">
        <x:v>200</x:v>
      </x:c>
      <x:c r="I254" s="11" t="n">
        <x:v>214</x:v>
      </x:c>
      <x:c r="J254" s="11" t="n">
        <x:v>3247433</x:v>
      </x:c>
      <x:c r="K254" s="11" t="n">
        <x:v>3171012</x:v>
      </x:c>
      <x:c r="L254" s="11" t="n">
        <x:v>169857</x:v>
      </x:c>
      <x:c r="M254" s="11" t="n">
        <x:v>170829</x:v>
      </x:c>
      <x:c r="N254" s="11" t="n">
        <x:v>101500</x:v>
      </x:c>
      <x:c r="O254" s="11" t="n">
        <x:v>24653</x:v>
      </x:c>
      <x:c r="P254" s="11" t="n">
        <x:v>52</x:v>
      </x:c>
      <x:c r="Q254" s="2"/>
      <x:c r="R254" s="2"/>
      <x:c r="S254" s="2"/>
      <x:c r="T254" s="2"/>
      <x:c r="U254" s="2"/>
    </x:row>
    <x:row r="255" ht="26" customHeight="1">
      <x:c r="A255" s="2" t="str">
        <x:v>E09000026</x:v>
      </x:c>
      <x:c r="B255" s="2" t="str">
        <x:v>State-funded secondary</x:v>
      </x:c>
      <x:c r="C255" s="2" t="str">
        <x:v>Redbridge</x:v>
      </x:c>
      <x:c r="D255" s="11" t="n">
        <x:v>22907</x:v>
      </x:c>
      <x:c r="E255" s="11" t="n">
        <x:v>22492</x:v>
      </x:c>
      <x:c r="F255" s="11" t="n">
        <x:v>3485</x:v>
      </x:c>
      <x:c r="G255" s="11" t="n">
        <x:v>3741</x:v>
      </x:c>
      <x:c r="H255" s="11" t="n">
        <x:v>325</x:v>
      </x:c>
      <x:c r="I255" s="11" t="n">
        <x:v>329</x:v>
      </x:c>
      <x:c r="J255" s="11" t="n">
        <x:v>3156183</x:v>
      </x:c>
      <x:c r="K255" s="11" t="n">
        <x:v>3084153</x:v>
      </x:c>
      <x:c r="L255" s="11" t="n">
        <x:v>173425</x:v>
      </x:c>
      <x:c r="M255" s="11" t="n">
        <x:v>182816</x:v>
      </x:c>
      <x:c r="N255" s="11" t="n">
        <x:v>100440</x:v>
      </x:c>
      <x:c r="O255" s="11" t="n">
        <x:v>38038</x:v>
      </x:c>
      <x:c r="P255" s="11" t="n">
        <x:v>19</x:v>
      </x:c>
      <x:c r="Q255" s="2"/>
      <x:c r="R255" s="2"/>
      <x:c r="S255" s="2"/>
      <x:c r="T255" s="2"/>
      <x:c r="U255" s="2"/>
    </x:row>
    <x:row r="256" ht="26" customHeight="1">
      <x:c r="A256" s="2" t="str">
        <x:v>E09000027</x:v>
      </x:c>
      <x:c r="B256" s="2" t="str">
        <x:v>State-funded primary</x:v>
      </x:c>
      <x:c r="C256" s="2" t="str">
        <x:v>Richmond upon Thames</x:v>
      </x:c>
      <x:c r="D256" s="11" t="n">
        <x:v>13556</x:v>
      </x:c>
      <x:c r="E256" s="11" t="n">
        <x:v>13241</x:v>
      </x:c>
      <x:c r="F256" s="11" t="n">
        <x:v>1445</x:v>
      </x:c>
      <x:c r="G256" s="11" t="n">
        <x:v>1316</x:v>
      </x:c>
      <x:c r="H256" s="11" t="n">
        <x:v>76</x:v>
      </x:c>
      <x:c r="I256" s="11" t="n">
        <x:v>87</x:v>
      </x:c>
      <x:c r="J256" s="11" t="n">
        <x:v>1930244</x:v>
      </x:c>
      <x:c r="K256" s="11" t="n">
        <x:v>1877845</x:v>
      </x:c>
      <x:c r="L256" s="11" t="n">
        <x:v>83647</x:v>
      </x:c>
      <x:c r="M256" s="11" t="n">
        <x:v>78067</x:v>
      </x:c>
      <x:c r="N256" s="11" t="n">
        <x:v>42295</x:v>
      </x:c>
      <x:c r="O256" s="11" t="n">
        <x:v>12865</x:v>
      </x:c>
      <x:c r="P256" s="11" t="n">
        <x:v>45</x:v>
      </x:c>
      <x:c r="Q256" s="2"/>
      <x:c r="R256" s="2"/>
      <x:c r="S256" s="2"/>
      <x:c r="T256" s="2"/>
      <x:c r="U256" s="2"/>
    </x:row>
    <x:row r="257" ht="26" customHeight="1">
      <x:c r="A257" s="2" t="str">
        <x:v>E09000027</x:v>
      </x:c>
      <x:c r="B257" s="2" t="str">
        <x:v>State-funded secondary</x:v>
      </x:c>
      <x:c r="C257" s="2" t="str">
        <x:v>Richmond upon Thames</x:v>
      </x:c>
      <x:c r="D257" s="11" t="n">
        <x:v>10597</x:v>
      </x:c>
      <x:c r="E257" s="11" t="n">
        <x:v>10597</x:v>
      </x:c>
      <x:c r="F257" s="11" t="n">
        <x:v>1625</x:v>
      </x:c>
      <x:c r="G257" s="11" t="n">
        <x:v>1721</x:v>
      </x:c>
      <x:c r="H257" s="11" t="n">
        <x:v>218</x:v>
      </x:c>
      <x:c r="I257" s="11" t="n">
        <x:v>230</x:v>
      </x:c>
      <x:c r="J257" s="11" t="n">
        <x:v>1395338</x:v>
      </x:c>
      <x:c r="K257" s="11" t="n">
        <x:v>1380559</x:v>
      </x:c>
      <x:c r="L257" s="11" t="n">
        <x:v>82111</x:v>
      </x:c>
      <x:c r="M257" s="11" t="n">
        <x:v>84638</x:v>
      </x:c>
      <x:c r="N257" s="11" t="n">
        <x:v>42023</x:v>
      </x:c>
      <x:c r="O257" s="11" t="n">
        <x:v>26380</x:v>
      </x:c>
      <x:c r="P257" s="11" t="n">
        <x:v>11</x:v>
      </x:c>
      <x:c r="Q257" s="2"/>
      <x:c r="R257" s="2"/>
      <x:c r="S257" s="2"/>
      <x:c r="T257" s="2"/>
      <x:c r="U257" s="2"/>
    </x:row>
    <x:row r="258" ht="26" customHeight="1">
      <x:c r="A258" s="2" t="str">
        <x:v>E09000028</x:v>
      </x:c>
      <x:c r="B258" s="2" t="str">
        <x:v>State-funded primary</x:v>
      </x:c>
      <x:c r="C258" s="2" t="str">
        <x:v>Southwark</x:v>
      </x:c>
      <x:c r="D258" s="11" t="n">
        <x:v>17053</x:v>
      </x:c>
      <x:c r="E258" s="11" t="n">
        <x:v>16295</x:v>
      </x:c>
      <x:c r="F258" s="11" t="n">
        <x:v>2755</x:v>
      </x:c>
      <x:c r="G258" s="11" t="n">
        <x:v>2552</x:v>
      </x:c>
      <x:c r="H258" s="11" t="n">
        <x:v>153</x:v>
      </x:c>
      <x:c r="I258" s="11" t="n">
        <x:v>167</x:v>
      </x:c>
      <x:c r="J258" s="11" t="n">
        <x:v>2375815</x:v>
      </x:c>
      <x:c r="K258" s="11" t="n">
        <x:v>2271214</x:v>
      </x:c>
      <x:c r="L258" s="11" t="n">
        <x:v>123840</x:v>
      </x:c>
      <x:c r="M258" s="11" t="n">
        <x:v>116839</x:v>
      </x:c>
      <x:c r="N258" s="11" t="n">
        <x:v>65342</x:v>
      </x:c>
      <x:c r="O258" s="11" t="n">
        <x:v>16911</x:v>
      </x:c>
      <x:c r="P258" s="11" t="n">
        <x:v>66</x:v>
      </x:c>
      <x:c r="Q258" s="2"/>
      <x:c r="R258" s="2"/>
      <x:c r="S258" s="2"/>
      <x:c r="T258" s="2"/>
      <x:c r="U258" s="2"/>
    </x:row>
    <x:row r="259" ht="26" customHeight="1">
      <x:c r="A259" s="2" t="str">
        <x:v>E09000028</x:v>
      </x:c>
      <x:c r="B259" s="2" t="str">
        <x:v>State-funded secondary</x:v>
      </x:c>
      <x:c r="C259" s="2" t="str">
        <x:v>Southwark</x:v>
      </x:c>
      <x:c r="D259" s="11" t="n">
        <x:v>16595</x:v>
      </x:c>
      <x:c r="E259" s="11" t="n">
        <x:v>16189</x:v>
      </x:c>
      <x:c r="F259" s="11" t="n">
        <x:v>2905</x:v>
      </x:c>
      <x:c r="G259" s="11" t="n">
        <x:v>2965</x:v>
      </x:c>
      <x:c r="H259" s="11" t="n">
        <x:v>291</x:v>
      </x:c>
      <x:c r="I259" s="11" t="n">
        <x:v>260</x:v>
      </x:c>
      <x:c r="J259" s="11" t="n">
        <x:v>2235193</x:v>
      </x:c>
      <x:c r="K259" s="11" t="n">
        <x:v>2180854</x:v>
      </x:c>
      <x:c r="L259" s="11" t="n">
        <x:v>136296</x:v>
      </x:c>
      <x:c r="M259" s="11" t="n">
        <x:v>137027</x:v>
      </x:c>
      <x:c r="N259" s="11" t="n">
        <x:v>67289</x:v>
      </x:c>
      <x:c r="O259" s="11" t="n">
        <x:v>35746</x:v>
      </x:c>
      <x:c r="P259" s="11" t="n">
        <x:v>20</x:v>
      </x:c>
      <x:c r="Q259" s="2"/>
      <x:c r="R259" s="2"/>
      <x:c r="S259" s="2"/>
      <x:c r="T259" s="2"/>
      <x:c r="U259" s="2"/>
    </x:row>
    <x:row r="260" ht="26" customHeight="1">
      <x:c r="A260" s="2" t="str">
        <x:v>E09000029</x:v>
      </x:c>
      <x:c r="B260" s="2" t="str">
        <x:v>State-funded primary</x:v>
      </x:c>
      <x:c r="C260" s="2" t="str">
        <x:v>Sutton</x:v>
      </x:c>
      <x:c r="D260" s="11" t="n">
        <x:v>15530</x:v>
      </x:c>
      <x:c r="E260" s="11" t="n">
        <x:v>15393</x:v>
      </x:c>
      <x:c r="F260" s="11" t="n">
        <x:v>2058</x:v>
      </x:c>
      <x:c r="G260" s="11" t="n">
        <x:v>1958</x:v>
      </x:c>
      <x:c r="H260" s="11" t="n">
        <x:v>89</x:v>
      </x:c>
      <x:c r="I260" s="11" t="n">
        <x:v>113</x:v>
      </x:c>
      <x:c r="J260" s="11" t="n">
        <x:v>2169256</x:v>
      </x:c>
      <x:c r="K260" s="11" t="n">
        <x:v>2150108</x:v>
      </x:c>
      <x:c r="L260" s="11" t="n">
        <x:v>104355</x:v>
      </x:c>
      <x:c r="M260" s="11" t="n">
        <x:v>102440</x:v>
      </x:c>
      <x:c r="N260" s="11" t="n">
        <x:v>62523</x:v>
      </x:c>
      <x:c r="O260" s="11" t="n">
        <x:v>14066</x:v>
      </x:c>
      <x:c r="P260" s="11" t="n">
        <x:v>41</x:v>
      </x:c>
      <x:c r="Q260" s="2"/>
      <x:c r="R260" s="2"/>
      <x:c r="S260" s="2"/>
      <x:c r="T260" s="2"/>
      <x:c r="U260" s="2"/>
    </x:row>
    <x:row r="261" ht="26" customHeight="1">
      <x:c r="A261" s="2" t="str">
        <x:v>E09000029</x:v>
      </x:c>
      <x:c r="B261" s="2" t="str">
        <x:v>State-funded secondary</x:v>
      </x:c>
      <x:c r="C261" s="2" t="str">
        <x:v>Sutton</x:v>
      </x:c>
      <x:c r="D261" s="11" t="n">
        <x:v>17231</x:v>
      </x:c>
      <x:c r="E261" s="11" t="n">
        <x:v>17159</x:v>
      </x:c>
      <x:c r="F261" s="11" t="n">
        <x:v>2584</x:v>
      </x:c>
      <x:c r="G261" s="11" t="n">
        <x:v>2578</x:v>
      </x:c>
      <x:c r="H261" s="11" t="n">
        <x:v>301</x:v>
      </x:c>
      <x:c r="I261" s="11" t="n">
        <x:v>297</x:v>
      </x:c>
      <x:c r="J261" s="11" t="n">
        <x:v>2275602</x:v>
      </x:c>
      <x:c r="K261" s="11" t="n">
        <x:v>2280197</x:v>
      </x:c>
      <x:c r="L261" s="11" t="n">
        <x:v>132159</x:v>
      </x:c>
      <x:c r="M261" s="11" t="n">
        <x:v>132329</x:v>
      </x:c>
      <x:c r="N261" s="11" t="n">
        <x:v>75521</x:v>
      </x:c>
      <x:c r="O261" s="11" t="n">
        <x:v>27171</x:v>
      </x:c>
      <x:c r="P261" s="11" t="n">
        <x:v>15</x:v>
      </x:c>
      <x:c r="Q261" s="2"/>
      <x:c r="R261" s="2"/>
      <x:c r="S261" s="2"/>
      <x:c r="T261" s="2"/>
      <x:c r="U261" s="2"/>
    </x:row>
    <x:row r="262" ht="26" customHeight="1">
      <x:c r="A262" s="2" t="str">
        <x:v>E09000030</x:v>
      </x:c>
      <x:c r="B262" s="2" t="str">
        <x:v>State-funded primary</x:v>
      </x:c>
      <x:c r="C262" s="2" t="str">
        <x:v>Tower Hamlets</x:v>
      </x:c>
      <x:c r="D262" s="11" t="n">
        <x:v>18861</x:v>
      </x:c>
      <x:c r="E262" s="11" t="n">
        <x:v>18400</x:v>
      </x:c>
      <x:c r="F262" s="11" t="n">
        <x:v>3522</x:v>
      </x:c>
      <x:c r="G262" s="11" t="n">
        <x:v>3410</x:v>
      </x:c>
      <x:c r="H262" s="11" t="n">
        <x:v>123</x:v>
      </x:c>
      <x:c r="I262" s="11" t="n">
        <x:v>126</x:v>
      </x:c>
      <x:c r="J262" s="11" t="n">
        <x:v>2677807</x:v>
      </x:c>
      <x:c r="K262" s="11" t="n">
        <x:v>2593408</x:v>
      </x:c>
      <x:c r="L262" s="11" t="n">
        <x:v>158012</x:v>
      </x:c>
      <x:c r="M262" s="11" t="n">
        <x:v>154858</x:v>
      </x:c>
      <x:c r="N262" s="11" t="n">
        <x:v>97801</x:v>
      </x:c>
      <x:c r="O262" s="11" t="n">
        <x:v>18751</x:v>
      </x:c>
      <x:c r="P262" s="11" t="n">
        <x:v>66</x:v>
      </x:c>
      <x:c r="Q262" s="2"/>
      <x:c r="R262" s="2"/>
      <x:c r="S262" s="2"/>
      <x:c r="T262" s="2"/>
      <x:c r="U262" s="2"/>
    </x:row>
    <x:row r="263" ht="26" customHeight="1">
      <x:c r="A263" s="2" t="str">
        <x:v>E09000030</x:v>
      </x:c>
      <x:c r="B263" s="2" t="str">
        <x:v>State-funded secondary</x:v>
      </x:c>
      <x:c r="C263" s="2" t="str">
        <x:v>Tower Hamlets</x:v>
      </x:c>
      <x:c r="D263" s="11" t="n">
        <x:v>15202</x:v>
      </x:c>
      <x:c r="E263" s="11" t="n">
        <x:v>14975</x:v>
      </x:c>
      <x:c r="F263" s="11" t="n">
        <x:v>2564</x:v>
      </x:c>
      <x:c r="G263" s="11" t="n">
        <x:v>2633</x:v>
      </x:c>
      <x:c r="H263" s="11" t="n">
        <x:v>234</x:v>
      </x:c>
      <x:c r="I263" s="11" t="n">
        <x:v>196</x:v>
      </x:c>
      <x:c r="J263" s="11" t="n">
        <x:v>2089224</x:v>
      </x:c>
      <x:c r="K263" s="11" t="n">
        <x:v>2057341</x:v>
      </x:c>
      <x:c r="L263" s="11" t="n">
        <x:v>123039</x:v>
      </x:c>
      <x:c r="M263" s="11" t="n">
        <x:v>126375</x:v>
      </x:c>
      <x:c r="N263" s="11" t="n">
        <x:v>65477</x:v>
      </x:c>
      <x:c r="O263" s="11" t="n">
        <x:v>36898</x:v>
      </x:c>
      <x:c r="P263" s="11" t="n">
        <x:v>18</x:v>
      </x:c>
      <x:c r="Q263" s="2"/>
      <x:c r="R263" s="2"/>
      <x:c r="S263" s="2"/>
      <x:c r="T263" s="2"/>
      <x:c r="U263" s="2"/>
    </x:row>
    <x:row r="264" ht="26" customHeight="1">
      <x:c r="A264" s="2" t="str">
        <x:v>E09000031</x:v>
      </x:c>
      <x:c r="B264" s="2" t="str">
        <x:v>State-funded primary</x:v>
      </x:c>
      <x:c r="C264" s="2" t="str">
        <x:v>Waltham Forest</x:v>
      </x:c>
      <x:c r="D264" s="11" t="n">
        <x:v>19376</x:v>
      </x:c>
      <x:c r="E264" s="11" t="n">
        <x:v>19029</x:v>
      </x:c>
      <x:c r="F264" s="11" t="n">
        <x:v>2569</x:v>
      </x:c>
      <x:c r="G264" s="11" t="n">
        <x:v>2570</x:v>
      </x:c>
      <x:c r="H264" s="11" t="n">
        <x:v>158</x:v>
      </x:c>
      <x:c r="I264" s="11" t="n">
        <x:v>163</x:v>
      </x:c>
      <x:c r="J264" s="11" t="n">
        <x:v>2699060</x:v>
      </x:c>
      <x:c r="K264" s="11" t="n">
        <x:v>2674623</x:v>
      </x:c>
      <x:c r="L264" s="11" t="n">
        <x:v>130264</x:v>
      </x:c>
      <x:c r="M264" s="11" t="n">
        <x:v>130435</x:v>
      </x:c>
      <x:c r="N264" s="11" t="n">
        <x:v>66346</x:v>
      </x:c>
      <x:c r="O264" s="11" t="n">
        <x:v>28737</x:v>
      </x:c>
      <x:c r="P264" s="11" t="n">
        <x:v>51</x:v>
      </x:c>
      <x:c r="Q264" s="2"/>
      <x:c r="R264" s="2"/>
      <x:c r="S264" s="2"/>
      <x:c r="T264" s="2"/>
      <x:c r="U264" s="2"/>
    </x:row>
    <x:row r="265" ht="26" customHeight="1">
      <x:c r="A265" s="2" t="str">
        <x:v>E09000031</x:v>
      </x:c>
      <x:c r="B265" s="2" t="str">
        <x:v>State-funded secondary</x:v>
      </x:c>
      <x:c r="C265" s="2" t="str">
        <x:v>Waltham Forest</x:v>
      </x:c>
      <x:c r="D265" s="11" t="n">
        <x:v>15469</x:v>
      </x:c>
      <x:c r="E265" s="11" t="n">
        <x:v>15106</x:v>
      </x:c>
      <x:c r="F265" s="11" t="n">
        <x:v>3099</x:v>
      </x:c>
      <x:c r="G265" s="11" t="n">
        <x:v>3002</x:v>
      </x:c>
      <x:c r="H265" s="11" t="n">
        <x:v>286</x:v>
      </x:c>
      <x:c r="I265" s="11" t="n">
        <x:v>260</x:v>
      </x:c>
      <x:c r="J265" s="11" t="n">
        <x:v>2093200</x:v>
      </x:c>
      <x:c r="K265" s="11" t="n">
        <x:v>2067878</x:v>
      </x:c>
      <x:c r="L265" s="11" t="n">
        <x:v>139249</x:v>
      </x:c>
      <x:c r="M265" s="11" t="n">
        <x:v>138918</x:v>
      </x:c>
      <x:c r="N265" s="11" t="n">
        <x:v>60697</x:v>
      </x:c>
      <x:c r="O265" s="11" t="n">
        <x:v>47155</x:v>
      </x:c>
      <x:c r="P265" s="11" t="n">
        <x:v>17</x:v>
      </x:c>
      <x:c r="Q265" s="2"/>
      <x:c r="R265" s="2"/>
      <x:c r="S265" s="2"/>
      <x:c r="T265" s="2"/>
      <x:c r="U265" s="2"/>
    </x:row>
    <x:row r="266" ht="26" customHeight="1">
      <x:c r="A266" s="2" t="str">
        <x:v>E09000032</x:v>
      </x:c>
      <x:c r="B266" s="2" t="str">
        <x:v>State-funded primary</x:v>
      </x:c>
      <x:c r="C266" s="2" t="str">
        <x:v>Wandsworth</x:v>
      </x:c>
      <x:c r="D266" s="11" t="n">
        <x:v>14481</x:v>
      </x:c>
      <x:c r="E266" s="11" t="n">
        <x:v>14201</x:v>
      </x:c>
      <x:c r="F266" s="11" t="n">
        <x:v>2117</x:v>
      </x:c>
      <x:c r="G266" s="11" t="n">
        <x:v>2002</x:v>
      </x:c>
      <x:c r="H266" s="11" t="n">
        <x:v>124</x:v>
      </x:c>
      <x:c r="I266" s="11" t="n">
        <x:v>136</x:v>
      </x:c>
      <x:c r="J266" s="11" t="n">
        <x:v>2034185</x:v>
      </x:c>
      <x:c r="K266" s="11" t="n">
        <x:v>1997691</x:v>
      </x:c>
      <x:c r="L266" s="11" t="n">
        <x:v>104660</x:v>
      </x:c>
      <x:c r="M266" s="11" t="n">
        <x:v>101641</x:v>
      </x:c>
      <x:c r="N266" s="11" t="n">
        <x:v>55280</x:v>
      </x:c>
      <x:c r="O266" s="11" t="n">
        <x:v>14049</x:v>
      </x:c>
      <x:c r="P266" s="11" t="n">
        <x:v>58</x:v>
      </x:c>
      <x:c r="Q266" s="2"/>
      <x:c r="R266" s="2"/>
      <x:c r="S266" s="2"/>
      <x:c r="T266" s="2"/>
      <x:c r="U266" s="2"/>
    </x:row>
    <x:row r="267" ht="26" customHeight="1">
      <x:c r="A267" s="2" t="str">
        <x:v>E09000032</x:v>
      </x:c>
      <x:c r="B267" s="2" t="str">
        <x:v>State-funded secondary</x:v>
      </x:c>
      <x:c r="C267" s="2" t="str">
        <x:v>Wandsworth</x:v>
      </x:c>
      <x:c r="D267" s="11" t="n">
        <x:v>9706</x:v>
      </x:c>
      <x:c r="E267" s="11" t="n">
        <x:v>9664</x:v>
      </x:c>
      <x:c r="F267" s="11" t="n">
        <x:v>1653</x:v>
      </x:c>
      <x:c r="G267" s="11" t="n">
        <x:v>1639</x:v>
      </x:c>
      <x:c r="H267" s="11" t="n">
        <x:v>184</x:v>
      </x:c>
      <x:c r="I267" s="11" t="n">
        <x:v>201</x:v>
      </x:c>
      <x:c r="J267" s="11" t="n">
        <x:v>1329450</x:v>
      </x:c>
      <x:c r="K267" s="11" t="n">
        <x:v>1323632</x:v>
      </x:c>
      <x:c r="L267" s="11" t="n">
        <x:v>79546</x:v>
      </x:c>
      <x:c r="M267" s="11" t="n">
        <x:v>82438</x:v>
      </x:c>
      <x:c r="N267" s="11" t="n">
        <x:v>41543</x:v>
      </x:c>
      <x:c r="O267" s="11" t="n">
        <x:v>21920</x:v>
      </x:c>
      <x:c r="P267" s="11" t="n">
        <x:v>11</x:v>
      </x:c>
      <x:c r="Q267" s="2"/>
      <x:c r="R267" s="2"/>
      <x:c r="S267" s="2"/>
      <x:c r="T267" s="2"/>
      <x:c r="U267" s="2"/>
    </x:row>
    <x:row r="268" ht="26" customHeight="1">
      <x:c r="A268" s="2" t="str">
        <x:v>E09000033</x:v>
      </x:c>
      <x:c r="B268" s="2" t="str">
        <x:v>State-funded primary</x:v>
      </x:c>
      <x:c r="C268" s="2" t="str">
        <x:v>Westminster</x:v>
      </x:c>
      <x:c r="D268" s="11" t="n">
        <x:v>6345</x:v>
      </x:c>
      <x:c r="E268" s="11" t="n">
        <x:v>5934</x:v>
      </x:c>
      <x:c r="F268" s="11" t="n">
        <x:v>1167</x:v>
      </x:c>
      <x:c r="G268" s="11" t="n">
        <x:v>1061</x:v>
      </x:c>
      <x:c r="H268" s="11" t="n">
        <x:v>94</x:v>
      </x:c>
      <x:c r="I268" s="11" t="n">
        <x:v>89</x:v>
      </x:c>
      <x:c r="J268" s="11" t="n">
        <x:v>873164</x:v>
      </x:c>
      <x:c r="K268" s="11" t="n">
        <x:v>815471</x:v>
      </x:c>
      <x:c r="L268" s="11" t="n">
        <x:v>51070</x:v>
      </x:c>
      <x:c r="M268" s="11" t="n">
        <x:v>47066</x:v>
      </x:c>
      <x:c r="N268" s="11" t="n">
        <x:v>24105</x:v>
      </x:c>
      <x:c r="O268" s="11" t="n">
        <x:v>9206</x:v>
      </x:c>
      <x:c r="P268" s="11" t="n">
        <x:v>33</x:v>
      </x:c>
      <x:c r="Q268" s="2"/>
      <x:c r="R268" s="2"/>
      <x:c r="S268" s="2"/>
      <x:c r="T268" s="2"/>
      <x:c r="U268" s="2"/>
    </x:row>
    <x:row r="269" ht="26" customHeight="1">
      <x:c r="A269" s="2" t="str">
        <x:v>E09000033</x:v>
      </x:c>
      <x:c r="B269" s="2" t="str">
        <x:v>State-funded secondary</x:v>
      </x:c>
      <x:c r="C269" s="2" t="str">
        <x:v>Westminster</x:v>
      </x:c>
      <x:c r="D269" s="11" t="n">
        <x:v>9400</x:v>
      </x:c>
      <x:c r="E269" s="11" t="n">
        <x:v>9232</x:v>
      </x:c>
      <x:c r="F269" s="11" t="n">
        <x:v>1866</x:v>
      </x:c>
      <x:c r="G269" s="11" t="n">
        <x:v>1731</x:v>
      </x:c>
      <x:c r="H269" s="11" t="n">
        <x:v>189</x:v>
      </x:c>
      <x:c r="I269" s="11" t="n">
        <x:v>157</x:v>
      </x:c>
      <x:c r="J269" s="11" t="n">
        <x:v>1248103</x:v>
      </x:c>
      <x:c r="K269" s="11" t="n">
        <x:v>1211295</x:v>
      </x:c>
      <x:c r="L269" s="11" t="n">
        <x:v>84041</x:v>
      </x:c>
      <x:c r="M269" s="11" t="n">
        <x:v>77769</x:v>
      </x:c>
      <x:c r="N269" s="11" t="n">
        <x:v>33817</x:v>
      </x:c>
      <x:c r="O269" s="11" t="n">
        <x:v>22370</x:v>
      </x:c>
      <x:c r="P269" s="11" t="n">
        <x:v>11</x:v>
      </x:c>
      <x:c r="Q269" s="2"/>
      <x:c r="R269" s="2"/>
      <x:c r="S269" s="2"/>
      <x:c r="T269" s="2"/>
      <x:c r="U269" s="2"/>
    </x:row>
    <x:row r="270" ht="26" customHeight="1">
      <x:c r="A270" s="2" t="str">
        <x:v>E10000003</x:v>
      </x:c>
      <x:c r="B270" s="2" t="str">
        <x:v>State-funded primary</x:v>
      </x:c>
      <x:c r="C270" s="2" t="str">
        <x:v>Cambridgeshire</x:v>
      </x:c>
      <x:c r="D270" s="11" t="n">
        <x:v>44248</x:v>
      </x:c>
      <x:c r="E270" s="11" t="n">
        <x:v>43354</x:v>
      </x:c>
      <x:c r="F270" s="11" t="n">
        <x:v>5616</x:v>
      </x:c>
      <x:c r="G270" s="11" t="n">
        <x:v>5402</x:v>
      </x:c>
      <x:c r="H270" s="11" t="n">
        <x:v>435</x:v>
      </x:c>
      <x:c r="I270" s="11" t="n">
        <x:v>575</x:v>
      </x:c>
      <x:c r="J270" s="11" t="n">
        <x:v>6209259</x:v>
      </x:c>
      <x:c r="K270" s="11" t="n">
        <x:v>6144124</x:v>
      </x:c>
      <x:c r="L270" s="11" t="n">
        <x:v>302763</x:v>
      </x:c>
      <x:c r="M270" s="11" t="n">
        <x:v>300564</x:v>
      </x:c>
      <x:c r="N270" s="11" t="n">
        <x:v>177169</x:v>
      </x:c>
      <x:c r="O270" s="11" t="n">
        <x:v>25234</x:v>
      </x:c>
      <x:c r="P270" s="11" t="n">
        <x:v>210</x:v>
      </x:c>
      <x:c r="Q270" s="2"/>
      <x:c r="R270" s="2"/>
      <x:c r="S270" s="2"/>
      <x:c r="T270" s="2"/>
      <x:c r="U270" s="2"/>
    </x:row>
    <x:row r="271" ht="26" customHeight="1">
      <x:c r="A271" s="2" t="str">
        <x:v>E10000003</x:v>
      </x:c>
      <x:c r="B271" s="2" t="str">
        <x:v>State-funded secondary</x:v>
      </x:c>
      <x:c r="C271" s="2" t="str">
        <x:v>Cambridgeshire</x:v>
      </x:c>
      <x:c r="D271" s="11" t="n">
        <x:v>35290</x:v>
      </x:c>
      <x:c r="E271" s="11" t="n">
        <x:v>35298</x:v>
      </x:c>
      <x:c r="F271" s="11" t="n">
        <x:v>6891</x:v>
      </x:c>
      <x:c r="G271" s="11" t="n">
        <x:v>6615</x:v>
      </x:c>
      <x:c r="H271" s="11" t="n">
        <x:v>1297</x:v>
      </x:c>
      <x:c r="I271" s="11" t="n">
        <x:v>1254</x:v>
      </x:c>
      <x:c r="J271" s="11" t="n">
        <x:v>4855746</x:v>
      </x:c>
      <x:c r="K271" s="11" t="n">
        <x:v>4883859</x:v>
      </x:c>
      <x:c r="L271" s="11" t="n">
        <x:v>378552</x:v>
      </x:c>
      <x:c r="M271" s="11" t="n">
        <x:v>371554</x:v>
      </x:c>
      <x:c r="N271" s="11" t="n">
        <x:v>191906</x:v>
      </x:c>
      <x:c r="O271" s="11" t="n">
        <x:v>73917</x:v>
      </x:c>
      <x:c r="P271" s="11" t="n">
        <x:v>35</x:v>
      </x:c>
      <x:c r="Q271" s="2"/>
      <x:c r="R271" s="2"/>
      <x:c r="S271" s="2"/>
      <x:c r="T271" s="2"/>
      <x:c r="U271" s="2"/>
    </x:row>
    <x:row r="272" ht="26" customHeight="1">
      <x:c r="A272" s="2" t="str">
        <x:v>E10000007</x:v>
      </x:c>
      <x:c r="B272" s="2" t="str">
        <x:v>State-funded primary</x:v>
      </x:c>
      <x:c r="C272" s="2" t="str">
        <x:v>Derbyshire</x:v>
      </x:c>
      <x:c r="D272" s="11" t="n">
        <x:v>49799</x:v>
      </x:c>
      <x:c r="E272" s="11" t="n">
        <x:v>48820</x:v>
      </x:c>
      <x:c r="F272" s="11" t="n">
        <x:v>6652</x:v>
      </x:c>
      <x:c r="G272" s="11" t="n">
        <x:v>7130</x:v>
      </x:c>
      <x:c r="H272" s="11" t="n">
        <x:v>378</x:v>
      </x:c>
      <x:c r="I272" s="11" t="n">
        <x:v>438</x:v>
      </x:c>
      <x:c r="J272" s="11" t="n">
        <x:v>6885874</x:v>
      </x:c>
      <x:c r="K272" s="11" t="n">
        <x:v>6669801</x:v>
      </x:c>
      <x:c r="L272" s="11" t="n">
        <x:v>333408</x:v>
      </x:c>
      <x:c r="M272" s="11" t="n">
        <x:v>337363</x:v>
      </x:c>
      <x:c r="N272" s="11" t="n">
        <x:v>205616</x:v>
      </x:c>
      <x:c r="O272" s="11" t="n">
        <x:v>27373</x:v>
      </x:c>
      <x:c r="P272" s="11" t="n">
        <x:v>351</x:v>
      </x:c>
      <x:c r="Q272" s="2"/>
      <x:c r="R272" s="2"/>
      <x:c r="S272" s="2"/>
      <x:c r="T272" s="2"/>
      <x:c r="U272" s="2"/>
    </x:row>
    <x:row r="273" ht="26" customHeight="1">
      <x:c r="A273" s="2" t="str">
        <x:v>E10000007</x:v>
      </x:c>
      <x:c r="B273" s="2" t="str">
        <x:v>State-funded secondary</x:v>
      </x:c>
      <x:c r="C273" s="2" t="str">
        <x:v>Derbyshire</x:v>
      </x:c>
      <x:c r="D273" s="11" t="n">
        <x:v>41636</x:v>
      </x:c>
      <x:c r="E273" s="11" t="n">
        <x:v>41317</x:v>
      </x:c>
      <x:c r="F273" s="11" t="n">
        <x:v>8758</x:v>
      </x:c>
      <x:c r="G273" s="11" t="n">
        <x:v>9392</x:v>
      </x:c>
      <x:c r="H273" s="11" t="n">
        <x:v>1514</x:v>
      </x:c>
      <x:c r="I273" s="11" t="n">
        <x:v>1350</x:v>
      </x:c>
      <x:c r="J273" s="11" t="n">
        <x:v>5620727</x:v>
      </x:c>
      <x:c r="K273" s="11" t="n">
        <x:v>5576664</x:v>
      </x:c>
      <x:c r="L273" s="11" t="n">
        <x:v>443600</x:v>
      </x:c>
      <x:c r="M273" s="11" t="n">
        <x:v>453418</x:v>
      </x:c>
      <x:c r="N273" s="11" t="n">
        <x:v>229931</x:v>
      </x:c>
      <x:c r="O273" s="11" t="n">
        <x:v>113167</x:v>
      </x:c>
      <x:c r="P273" s="11" t="n">
        <x:v>45</x:v>
      </x:c>
      <x:c r="Q273" s="2"/>
      <x:c r="R273" s="2"/>
      <x:c r="S273" s="2"/>
      <x:c r="T273" s="2"/>
      <x:c r="U273" s="2"/>
    </x:row>
    <x:row r="274" ht="26" customHeight="1">
      <x:c r="A274" s="2" t="str">
        <x:v>E10000008</x:v>
      </x:c>
      <x:c r="B274" s="2" t="str">
        <x:v>State-funded primary</x:v>
      </x:c>
      <x:c r="C274" s="2" t="str">
        <x:v>Devon</x:v>
      </x:c>
      <x:c r="D274" s="11" t="n">
        <x:v>46461</x:v>
      </x:c>
      <x:c r="E274" s="11" t="n">
        <x:v>45607</x:v>
      </x:c>
      <x:c r="F274" s="11" t="n">
        <x:v>5788</x:v>
      </x:c>
      <x:c r="G274" s="11" t="n">
        <x:v>5811</x:v>
      </x:c>
      <x:c r="H274" s="11" t="n">
        <x:v>392</x:v>
      </x:c>
      <x:c r="I274" s="11" t="n">
        <x:v>478</x:v>
      </x:c>
      <x:c r="J274" s="11" t="n">
        <x:v>6491764</x:v>
      </x:c>
      <x:c r="K274" s="11" t="n">
        <x:v>6373090</x:v>
      </x:c>
      <x:c r="L274" s="11" t="n">
        <x:v>320478</x:v>
      </x:c>
      <x:c r="M274" s="11" t="n">
        <x:v>319898</x:v>
      </x:c>
      <x:c r="N274" s="11" t="n">
        <x:v>194092</x:v>
      </x:c>
      <x:c r="O274" s="11" t="n">
        <x:v>27607</x:v>
      </x:c>
      <x:c r="P274" s="11" t="n">
        <x:v>307</x:v>
      </x:c>
      <x:c r="Q274" s="2"/>
      <x:c r="R274" s="2"/>
      <x:c r="S274" s="2"/>
      <x:c r="T274" s="2"/>
      <x:c r="U274" s="2"/>
    </x:row>
    <x:row r="275" ht="26" customHeight="1">
      <x:c r="A275" s="2" t="str">
        <x:v>E10000008</x:v>
      </x:c>
      <x:c r="B275" s="2" t="str">
        <x:v>State-funded secondary</x:v>
      </x:c>
      <x:c r="C275" s="2" t="str">
        <x:v>Devon</x:v>
      </x:c>
      <x:c r="D275" s="11" t="n">
        <x:v>38178</x:v>
      </x:c>
      <x:c r="E275" s="11" t="n">
        <x:v>37724</x:v>
      </x:c>
      <x:c r="F275" s="11" t="n">
        <x:v>9500</x:v>
      </x:c>
      <x:c r="G275" s="11" t="n">
        <x:v>9343</x:v>
      </x:c>
      <x:c r="H275" s="11" t="n">
        <x:v>1861</x:v>
      </x:c>
      <x:c r="I275" s="11" t="n">
        <x:v>1656</x:v>
      </x:c>
      <x:c r="J275" s="11" t="n">
        <x:v>5128124</x:v>
      </x:c>
      <x:c r="K275" s="11" t="n">
        <x:v>5097763</x:v>
      </x:c>
      <x:c r="L275" s="11" t="n">
        <x:v>472785</x:v>
      </x:c>
      <x:c r="M275" s="11" t="n">
        <x:v>466755</x:v>
      </x:c>
      <x:c r="N275" s="11" t="n">
        <x:v>239141</x:v>
      </x:c>
      <x:c r="O275" s="11" t="n">
        <x:v>117873</x:v>
      </x:c>
      <x:c r="P275" s="11" t="n">
        <x:v>42</x:v>
      </x:c>
      <x:c r="Q275" s="2"/>
      <x:c r="R275" s="2"/>
      <x:c r="S275" s="2"/>
      <x:c r="T275" s="2"/>
      <x:c r="U275" s="2"/>
    </x:row>
    <x:row r="276" ht="26" customHeight="1">
      <x:c r="A276" s="2" t="str">
        <x:v>E10000011</x:v>
      </x:c>
      <x:c r="B276" s="2" t="str">
        <x:v>State-funded primary</x:v>
      </x:c>
      <x:c r="C276" s="2" t="str">
        <x:v>East Sussex</x:v>
      </x:c>
      <x:c r="D276" s="11" t="n">
        <x:v>30936</x:v>
      </x:c>
      <x:c r="E276" s="11" t="n">
        <x:v>30335</x:v>
      </x:c>
      <x:c r="F276" s="11" t="n">
        <x:v>4791</x:v>
      </x:c>
      <x:c r="G276" s="11" t="n">
        <x:v>5025</x:v>
      </x:c>
      <x:c r="H276" s="11" t="n">
        <x:v>308</x:v>
      </x:c>
      <x:c r="I276" s="11" t="n">
        <x:v>419</x:v>
      </x:c>
      <x:c r="J276" s="11" t="n">
        <x:v>4372895</x:v>
      </x:c>
      <x:c r="K276" s="11" t="n">
        <x:v>4177502</x:v>
      </x:c>
      <x:c r="L276" s="11" t="n">
        <x:v>242848</x:v>
      </x:c>
      <x:c r="M276" s="11" t="n">
        <x:v>239933</x:v>
      </x:c>
      <x:c r="N276" s="11" t="n">
        <x:v>138455</x:v>
      </x:c>
      <x:c r="O276" s="11" t="n">
        <x:v>30387</x:v>
      </x:c>
      <x:c r="P276" s="11" t="n">
        <x:v>144</x:v>
      </x:c>
      <x:c r="Q276" s="2"/>
      <x:c r="R276" s="2"/>
      <x:c r="S276" s="2"/>
      <x:c r="T276" s="2"/>
      <x:c r="U276" s="2"/>
    </x:row>
    <x:row r="277" ht="26" customHeight="1">
      <x:c r="A277" s="2" t="str">
        <x:v>E10000011</x:v>
      </x:c>
      <x:c r="B277" s="2" t="str">
        <x:v>State-funded secondary</x:v>
      </x:c>
      <x:c r="C277" s="2" t="str">
        <x:v>East Sussex</x:v>
      </x:c>
      <x:c r="D277" s="11" t="n">
        <x:v>27912</x:v>
      </x:c>
      <x:c r="E277" s="11" t="n">
        <x:v>27633</x:v>
      </x:c>
      <x:c r="F277" s="11" t="n">
        <x:v>6817</x:v>
      </x:c>
      <x:c r="G277" s="11" t="n">
        <x:v>6677</x:v>
      </x:c>
      <x:c r="H277" s="11" t="n">
        <x:v>1118</x:v>
      </x:c>
      <x:c r="I277" s="11" t="n">
        <x:v>1018</x:v>
      </x:c>
      <x:c r="J277" s="11" t="n">
        <x:v>3817424</x:v>
      </x:c>
      <x:c r="K277" s="11" t="n">
        <x:v>3707766</x:v>
      </x:c>
      <x:c r="L277" s="11" t="n">
        <x:v>338606</x:v>
      </x:c>
      <x:c r="M277" s="11" t="n">
        <x:v>319496</x:v>
      </x:c>
      <x:c r="N277" s="11" t="n">
        <x:v>160593</x:v>
      </x:c>
      <x:c r="O277" s="11" t="n">
        <x:v>91463</x:v>
      </x:c>
      <x:c r="P277" s="11" t="n">
        <x:v>26</x:v>
      </x:c>
      <x:c r="Q277" s="2"/>
      <x:c r="R277" s="2"/>
      <x:c r="S277" s="2"/>
      <x:c r="T277" s="2"/>
      <x:c r="U277" s="2"/>
    </x:row>
    <x:row r="278" ht="26" customHeight="1">
      <x:c r="A278" s="2" t="str">
        <x:v>E10000012</x:v>
      </x:c>
      <x:c r="B278" s="2" t="str">
        <x:v>State-funded primary</x:v>
      </x:c>
      <x:c r="C278" s="2" t="str">
        <x:v>Essex</x:v>
      </x:c>
      <x:c r="D278" s="11" t="n">
        <x:v>104141</x:v>
      </x:c>
      <x:c r="E278" s="11" t="n">
        <x:v>103691</x:v>
      </x:c>
      <x:c r="F278" s="11" t="n">
        <x:v>14926</x:v>
      </x:c>
      <x:c r="G278" s="11" t="n">
        <x:v>14581</x:v>
      </x:c>
      <x:c r="H278" s="11" t="n">
        <x:v>945</x:v>
      </x:c>
      <x:c r="I278" s="11" t="n">
        <x:v>1188</x:v>
      </x:c>
      <x:c r="J278" s="11" t="n">
        <x:v>14721414</x:v>
      </x:c>
      <x:c r="K278" s="11" t="n">
        <x:v>14614342</x:v>
      </x:c>
      <x:c r="L278" s="11" t="n">
        <x:v>762673</x:v>
      </x:c>
      <x:c r="M278" s="11" t="n">
        <x:v>760474</x:v>
      </x:c>
      <x:c r="N278" s="11" t="n">
        <x:v>427092</x:v>
      </x:c>
      <x:c r="O278" s="11" t="n">
        <x:v>97425</x:v>
      </x:c>
      <x:c r="P278" s="11" t="n">
        <x:v>444</x:v>
      </x:c>
      <x:c r="Q278" s="2"/>
      <x:c r="R278" s="2"/>
      <x:c r="S278" s="2"/>
      <x:c r="T278" s="2"/>
      <x:c r="U278" s="2"/>
    </x:row>
    <x:row r="279" ht="26" customHeight="1">
      <x:c r="A279" s="2" t="str">
        <x:v>E10000012</x:v>
      </x:c>
      <x:c r="B279" s="2" t="str">
        <x:v>State-funded secondary</x:v>
      </x:c>
      <x:c r="C279" s="2" t="str">
        <x:v>Essex</x:v>
      </x:c>
      <x:c r="D279" s="11" t="n">
        <x:v>86312</x:v>
      </x:c>
      <x:c r="E279" s="11" t="n">
        <x:v>86473</x:v>
      </x:c>
      <x:c r="F279" s="11" t="n">
        <x:v>18583</x:v>
      </x:c>
      <x:c r="G279" s="11" t="n">
        <x:v>18283</x:v>
      </x:c>
      <x:c r="H279" s="11" t="n">
        <x:v>3033</x:v>
      </x:c>
      <x:c r="I279" s="11" t="n">
        <x:v>3059</x:v>
      </x:c>
      <x:c r="J279" s="11" t="n">
        <x:v>11862497</x:v>
      </x:c>
      <x:c r="K279" s="11" t="n">
        <x:v>11753248</x:v>
      </x:c>
      <x:c r="L279" s="11" t="n">
        <x:v>945832</x:v>
      </x:c>
      <x:c r="M279" s="11" t="n">
        <x:v>921270</x:v>
      </x:c>
      <x:c r="N279" s="11" t="n">
        <x:v>401888</x:v>
      </x:c>
      <x:c r="O279" s="11" t="n">
        <x:v>294727</x:v>
      </x:c>
      <x:c r="P279" s="11" t="n">
        <x:v>81</x:v>
      </x:c>
      <x:c r="Q279" s="2"/>
      <x:c r="R279" s="2"/>
      <x:c r="S279" s="2"/>
      <x:c r="T279" s="2"/>
      <x:c r="U279" s="2"/>
    </x:row>
    <x:row r="280" ht="26" customHeight="1">
      <x:c r="A280" s="2" t="str">
        <x:v>E10000013</x:v>
      </x:c>
      <x:c r="B280" s="2" t="str">
        <x:v>State-funded primary</x:v>
      </x:c>
      <x:c r="C280" s="2" t="str">
        <x:v>Gloucestershire</x:v>
      </x:c>
      <x:c r="D280" s="11" t="n">
        <x:v>41483</x:v>
      </x:c>
      <x:c r="E280" s="11" t="n">
        <x:v>40698</x:v>
      </x:c>
      <x:c r="F280" s="11" t="n">
        <x:v>5523</x:v>
      </x:c>
      <x:c r="G280" s="11" t="n">
        <x:v>5126</x:v>
      </x:c>
      <x:c r="H280" s="11" t="n">
        <x:v>367</x:v>
      </x:c>
      <x:c r="I280" s="11" t="n">
        <x:v>402</x:v>
      </x:c>
      <x:c r="J280" s="11" t="n">
        <x:v>5868979</x:v>
      </x:c>
      <x:c r="K280" s="11" t="n">
        <x:v>5751505</x:v>
      </x:c>
      <x:c r="L280" s="11" t="n">
        <x:v>296075</x:v>
      </x:c>
      <x:c r="M280" s="11" t="n">
        <x:v>275773</x:v>
      </x:c>
      <x:c r="N280" s="11" t="n">
        <x:v>165754</x:v>
      </x:c>
      <x:c r="O280" s="11" t="n">
        <x:v>21152</x:v>
      </x:c>
      <x:c r="P280" s="11" t="n">
        <x:v>243</x:v>
      </x:c>
      <x:c r="Q280" s="2"/>
      <x:c r="R280" s="2"/>
      <x:c r="S280" s="2"/>
      <x:c r="T280" s="2"/>
      <x:c r="U280" s="2"/>
    </x:row>
    <x:row r="281" ht="26" customHeight="1">
      <x:c r="A281" s="2" t="str">
        <x:v>E10000013</x:v>
      </x:c>
      <x:c r="B281" s="2" t="str">
        <x:v>State-funded secondary</x:v>
      </x:c>
      <x:c r="C281" s="2" t="str">
        <x:v>Gloucestershire</x:v>
      </x:c>
      <x:c r="D281" s="11" t="n">
        <x:v>37346</x:v>
      </x:c>
      <x:c r="E281" s="11" t="n">
        <x:v>37678</x:v>
      </x:c>
      <x:c r="F281" s="11" t="n">
        <x:v>7793</x:v>
      </x:c>
      <x:c r="G281" s="11" t="n">
        <x:v>8053</x:v>
      </x:c>
      <x:c r="H281" s="11" t="n">
        <x:v>1139</x:v>
      </x:c>
      <x:c r="I281" s="11" t="n">
        <x:v>1166</x:v>
      </x:c>
      <x:c r="J281" s="11" t="n">
        <x:v>5129207</x:v>
      </x:c>
      <x:c r="K281" s="11" t="n">
        <x:v>5164141</x:v>
      </x:c>
      <x:c r="L281" s="11" t="n">
        <x:v>393249</x:v>
      </x:c>
      <x:c r="M281" s="11" t="n">
        <x:v>400107</x:v>
      </x:c>
      <x:c r="N281" s="11" t="n">
        <x:v>240486</x:v>
      </x:c>
      <x:c r="O281" s="11" t="n">
        <x:v>69549</x:v>
      </x:c>
      <x:c r="P281" s="11" t="n">
        <x:v>41</x:v>
      </x:c>
      <x:c r="Q281" s="2"/>
      <x:c r="R281" s="2"/>
      <x:c r="S281" s="2"/>
      <x:c r="T281" s="2"/>
      <x:c r="U281" s="2"/>
    </x:row>
    <x:row r="282" ht="26" customHeight="1">
      <x:c r="A282" s="2" t="str">
        <x:v>E10000014</x:v>
      </x:c>
      <x:c r="B282" s="2" t="str">
        <x:v>State-funded primary</x:v>
      </x:c>
      <x:c r="C282" s="2" t="str">
        <x:v>Hampshire</x:v>
      </x:c>
      <x:c r="D282" s="11" t="n">
        <x:v>90172</x:v>
      </x:c>
      <x:c r="E282" s="11" t="n">
        <x:v>88501</x:v>
      </x:c>
      <x:c r="F282" s="11" t="n">
        <x:v>10443</x:v>
      </x:c>
      <x:c r="G282" s="11" t="n">
        <x:v>9919</x:v>
      </x:c>
      <x:c r="H282" s="11" t="n">
        <x:v>692</x:v>
      </x:c>
      <x:c r="I282" s="11" t="n">
        <x:v>769</x:v>
      </x:c>
      <x:c r="J282" s="11" t="n">
        <x:v>12817094</x:v>
      </x:c>
      <x:c r="K282" s="11" t="n">
        <x:v>12256735</x:v>
      </x:c>
      <x:c r="L282" s="11" t="n">
        <x:v>585766</x:v>
      </x:c>
      <x:c r="M282" s="11" t="n">
        <x:v>547115</x:v>
      </x:c>
      <x:c r="N282" s="11" t="n">
        <x:v>330254</x:v>
      </x:c>
      <x:c r="O282" s="11" t="n">
        <x:v>41849</x:v>
      </x:c>
      <x:c r="P282" s="11" t="n">
        <x:v>422</x:v>
      </x:c>
      <x:c r="Q282" s="2"/>
      <x:c r="R282" s="2"/>
      <x:c r="S282" s="2"/>
      <x:c r="T282" s="2"/>
      <x:c r="U282" s="2"/>
    </x:row>
    <x:row r="283" ht="26" customHeight="1">
      <x:c r="A283" s="2" t="str">
        <x:v>E10000014</x:v>
      </x:c>
      <x:c r="B283" s="2" t="str">
        <x:v>State-funded secondary</x:v>
      </x:c>
      <x:c r="C283" s="2" t="str">
        <x:v>Hampshire</x:v>
      </x:c>
      <x:c r="D283" s="11" t="n">
        <x:v>74671</x:v>
      </x:c>
      <x:c r="E283" s="11" t="n">
        <x:v>74419</x:v>
      </x:c>
      <x:c r="F283" s="11" t="n">
        <x:v>15384</x:v>
      </x:c>
      <x:c r="G283" s="11" t="n">
        <x:v>15827</x:v>
      </x:c>
      <x:c r="H283" s="11" t="n">
        <x:v>2632</x:v>
      </x:c>
      <x:c r="I283" s="11" t="n">
        <x:v>2641</x:v>
      </x:c>
      <x:c r="J283" s="11" t="n">
        <x:v>10344415</x:v>
      </x:c>
      <x:c r="K283" s="11" t="n">
        <x:v>10042437</x:v>
      </x:c>
      <x:c r="L283" s="11" t="n">
        <x:v>812782</x:v>
      </x:c>
      <x:c r="M283" s="11" t="n">
        <x:v>787059</x:v>
      </x:c>
      <x:c r="N283" s="11" t="n">
        <x:v>421634</x:v>
      </x:c>
      <x:c r="O283" s="11" t="n">
        <x:v>160076</x:v>
      </x:c>
      <x:c r="P283" s="11" t="n">
        <x:v>69</x:v>
      </x:c>
      <x:c r="Q283" s="2"/>
      <x:c r="R283" s="2"/>
      <x:c r="S283" s="2"/>
      <x:c r="T283" s="2"/>
      <x:c r="U283" s="2"/>
    </x:row>
    <x:row r="284" ht="26" customHeight="1">
      <x:c r="A284" s="2" t="str">
        <x:v>E10000015</x:v>
      </x:c>
      <x:c r="B284" s="2" t="str">
        <x:v>State-funded primary</x:v>
      </x:c>
      <x:c r="C284" s="2" t="str">
        <x:v>Hertfordshire</x:v>
      </x:c>
      <x:c r="D284" s="11" t="n">
        <x:v>84045</x:v>
      </x:c>
      <x:c r="E284" s="11" t="n">
        <x:v>83070</x:v>
      </x:c>
      <x:c r="F284" s="11" t="n">
        <x:v>10709</x:v>
      </x:c>
      <x:c r="G284" s="11" t="n">
        <x:v>10680</x:v>
      </x:c>
      <x:c r="H284" s="11" t="n">
        <x:v>718</x:v>
      </x:c>
      <x:c r="I284" s="11" t="n">
        <x:v>844</x:v>
      </x:c>
      <x:c r="J284" s="11" t="n">
        <x:v>11898495</x:v>
      </x:c>
      <x:c r="K284" s="11" t="n">
        <x:v>11464720</x:v>
      </x:c>
      <x:c r="L284" s="11" t="n">
        <x:v>579585</x:v>
      </x:c>
      <x:c r="M284" s="11" t="n">
        <x:v>552834</x:v>
      </x:c>
      <x:c r="N284" s="11" t="n">
        <x:v>324547</x:v>
      </x:c>
      <x:c r="O284" s="11" t="n">
        <x:v>51621</x:v>
      </x:c>
      <x:c r="P284" s="11" t="n">
        <x:v>401</x:v>
      </x:c>
      <x:c r="Q284" s="2"/>
      <x:c r="R284" s="2"/>
      <x:c r="S284" s="2"/>
      <x:c r="T284" s="2"/>
      <x:c r="U284" s="2"/>
    </x:row>
    <x:row r="285" ht="26" customHeight="1">
      <x:c r="A285" s="2" t="str">
        <x:v>E10000015</x:v>
      </x:c>
      <x:c r="B285" s="2" t="str">
        <x:v>State-funded secondary</x:v>
      </x:c>
      <x:c r="C285" s="2" t="str">
        <x:v>Hertfordshire</x:v>
      </x:c>
      <x:c r="D285" s="11" t="n">
        <x:v>77565</x:v>
      </x:c>
      <x:c r="E285" s="11" t="n">
        <x:v>77605</x:v>
      </x:c>
      <x:c r="F285" s="11" t="n">
        <x:v>14465</x:v>
      </x:c>
      <x:c r="G285" s="11" t="n">
        <x:v>14667</x:v>
      </x:c>
      <x:c r="H285" s="11" t="n">
        <x:v>1959</x:v>
      </x:c>
      <x:c r="I285" s="11" t="n">
        <x:v>2043</x:v>
      </x:c>
      <x:c r="J285" s="11" t="n">
        <x:v>10658160</x:v>
      </x:c>
      <x:c r="K285" s="11" t="n">
        <x:v>10531253</x:v>
      </x:c>
      <x:c r="L285" s="11" t="n">
        <x:v>743628</x:v>
      </x:c>
      <x:c r="M285" s="11" t="n">
        <x:v>745639</x:v>
      </x:c>
      <x:c r="N285" s="11" t="n">
        <x:v>408851</x:v>
      </x:c>
      <x:c r="O285" s="11" t="n">
        <x:v>147350</x:v>
      </x:c>
      <x:c r="P285" s="11" t="n">
        <x:v>82</x:v>
      </x:c>
      <x:c r="Q285" s="2"/>
      <x:c r="R285" s="2"/>
      <x:c r="S285" s="2"/>
      <x:c r="T285" s="2"/>
      <x:c r="U285" s="2"/>
    </x:row>
    <x:row r="286" ht="26" customHeight="1">
      <x:c r="A286" s="2" t="str">
        <x:v>E10000016</x:v>
      </x:c>
      <x:c r="B286" s="2" t="str">
        <x:v>State-funded primary</x:v>
      </x:c>
      <x:c r="C286" s="2" t="str">
        <x:v>Kent</x:v>
      </x:c>
      <x:c r="D286" s="11" t="n">
        <x:v>111671</x:v>
      </x:c>
      <x:c r="E286" s="11" t="n">
        <x:v>110511</x:v>
      </x:c>
      <x:c r="F286" s="11" t="n">
        <x:v>18016</x:v>
      </x:c>
      <x:c r="G286" s="11" t="n">
        <x:v>16798</x:v>
      </x:c>
      <x:c r="H286" s="11" t="n">
        <x:v>1127</x:v>
      </x:c>
      <x:c r="I286" s="11" t="n">
        <x:v>1199</x:v>
      </x:c>
      <x:c r="J286" s="11" t="n">
        <x:v>15683868</x:v>
      </x:c>
      <x:c r="K286" s="11" t="n">
        <x:v>15412006</x:v>
      </x:c>
      <x:c r="L286" s="11" t="n">
        <x:v>860509</x:v>
      </x:c>
      <x:c r="M286" s="11" t="n">
        <x:v>819747</x:v>
      </x:c>
      <x:c r="N286" s="11" t="n">
        <x:v>455469</x:v>
      </x:c>
      <x:c r="O286" s="11" t="n">
        <x:v>118367</x:v>
      </x:c>
      <x:c r="P286" s="11" t="n">
        <x:v>459</x:v>
      </x:c>
      <x:c r="Q286" s="2"/>
      <x:c r="R286" s="2"/>
      <x:c r="S286" s="2"/>
      <x:c r="T286" s="2"/>
      <x:c r="U286" s="2"/>
    </x:row>
    <x:row r="287" ht="26" customHeight="1">
      <x:c r="A287" s="2" t="str">
        <x:v>E10000016</x:v>
      </x:c>
      <x:c r="B287" s="2" t="str">
        <x:v>State-funded secondary</x:v>
      </x:c>
      <x:c r="C287" s="2" t="str">
        <x:v>Kent</x:v>
      </x:c>
      <x:c r="D287" s="11" t="n">
        <x:v>96114</x:v>
      </x:c>
      <x:c r="E287" s="11" t="n">
        <x:v>96064</x:v>
      </x:c>
      <x:c r="F287" s="11" t="n">
        <x:v>21019</x:v>
      </x:c>
      <x:c r="G287" s="11" t="n">
        <x:v>21038</x:v>
      </x:c>
      <x:c r="H287" s="11" t="n">
        <x:v>2818</x:v>
      </x:c>
      <x:c r="I287" s="11" t="n">
        <x:v>2628</x:v>
      </x:c>
      <x:c r="J287" s="11" t="n">
        <x:v>13036020</x:v>
      </x:c>
      <x:c r="K287" s="11" t="n">
        <x:v>12975557</x:v>
      </x:c>
      <x:c r="L287" s="11" t="n">
        <x:v>989883</x:v>
      </x:c>
      <x:c r="M287" s="11" t="n">
        <x:v>981103</x:v>
      </x:c>
      <x:c r="N287" s="11" t="n">
        <x:v>511411</x:v>
      </x:c>
      <x:c r="O287" s="11" t="n">
        <x:v>257185</x:v>
      </x:c>
      <x:c r="P287" s="11" t="n">
        <x:v>103</x:v>
      </x:c>
      <x:c r="Q287" s="2"/>
      <x:c r="R287" s="2"/>
      <x:c r="S287" s="2"/>
      <x:c r="T287" s="2"/>
      <x:c r="U287" s="2"/>
    </x:row>
    <x:row r="288" ht="26" customHeight="1">
      <x:c r="A288" s="2" t="str">
        <x:v>E10000017</x:v>
      </x:c>
      <x:c r="B288" s="2" t="str">
        <x:v>State-funded primary</x:v>
      </x:c>
      <x:c r="C288" s="2" t="str">
        <x:v>Lancashire</x:v>
      </x:c>
      <x:c r="D288" s="11" t="n">
        <x:v>84227</x:v>
      </x:c>
      <x:c r="E288" s="11" t="n">
        <x:v>83068</x:v>
      </x:c>
      <x:c r="F288" s="11" t="n">
        <x:v>11168</x:v>
      </x:c>
      <x:c r="G288" s="11" t="n">
        <x:v>12060</x:v>
      </x:c>
      <x:c r="H288" s="11" t="n">
        <x:v>637</x:v>
      </x:c>
      <x:c r="I288" s="11" t="n">
        <x:v>810</x:v>
      </x:c>
      <x:c r="J288" s="11" t="n">
        <x:v>12036634</x:v>
      </x:c>
      <x:c r="K288" s="11" t="n">
        <x:v>11823374</x:v>
      </x:c>
      <x:c r="L288" s="11" t="n">
        <x:v>583337</x:v>
      </x:c>
      <x:c r="M288" s="11" t="n">
        <x:v>606985</x:v>
      </x:c>
      <x:c r="N288" s="11" t="n">
        <x:v>356041</x:v>
      </x:c>
      <x:c r="O288" s="11" t="n">
        <x:v>56984</x:v>
      </x:c>
      <x:c r="P288" s="11" t="n">
        <x:v>481</x:v>
      </x:c>
      <x:c r="Q288" s="2"/>
      <x:c r="R288" s="2"/>
      <x:c r="S288" s="2"/>
      <x:c r="T288" s="2"/>
      <x:c r="U288" s="2"/>
    </x:row>
    <x:row r="289" ht="26" customHeight="1">
      <x:c r="A289" s="2" t="str">
        <x:v>E10000017</x:v>
      </x:c>
      <x:c r="B289" s="2" t="str">
        <x:v>State-funded secondary</x:v>
      </x:c>
      <x:c r="C289" s="2" t="str">
        <x:v>Lancashire</x:v>
      </x:c>
      <x:c r="D289" s="11" t="n">
        <x:v>70759</x:v>
      </x:c>
      <x:c r="E289" s="11" t="n">
        <x:v>70318</x:v>
      </x:c>
      <x:c r="F289" s="11" t="n">
        <x:v>14592</x:v>
      </x:c>
      <x:c r="G289" s="11" t="n">
        <x:v>15546</x:v>
      </x:c>
      <x:c r="H289" s="11" t="n">
        <x:v>2258</x:v>
      </x:c>
      <x:c r="I289" s="11" t="n">
        <x:v>2178</x:v>
      </x:c>
      <x:c r="J289" s="11" t="n">
        <x:v>9867564</x:v>
      </x:c>
      <x:c r="K289" s="11" t="n">
        <x:v>9808558</x:v>
      </x:c>
      <x:c r="L289" s="11" t="n">
        <x:v>745935</x:v>
      </x:c>
      <x:c r="M289" s="11" t="n">
        <x:v>778891</x:v>
      </x:c>
      <x:c r="N289" s="11" t="n">
        <x:v>425364</x:v>
      </x:c>
      <x:c r="O289" s="11" t="n">
        <x:v>164183</x:v>
      </x:c>
      <x:c r="P289" s="11" t="n">
        <x:v>82</x:v>
      </x:c>
      <x:c r="Q289" s="2"/>
      <x:c r="R289" s="2"/>
      <x:c r="S289" s="2"/>
      <x:c r="T289" s="2"/>
      <x:c r="U289" s="2"/>
    </x:row>
    <x:row r="290" ht="26" customHeight="1">
      <x:c r="A290" s="2" t="str">
        <x:v>E10000018</x:v>
      </x:c>
      <x:c r="B290" s="2" t="str">
        <x:v>State-funded primary</x:v>
      </x:c>
      <x:c r="C290" s="2" t="str">
        <x:v>Leicestershire</x:v>
      </x:c>
      <x:c r="D290" s="11" t="n">
        <x:v>47636</x:v>
      </x:c>
      <x:c r="E290" s="11" t="n">
        <x:v>47269</x:v>
      </x:c>
      <x:c r="F290" s="11" t="n">
        <x:v>5827</x:v>
      </x:c>
      <x:c r="G290" s="11" t="n">
        <x:v>5296</x:v>
      </x:c>
      <x:c r="H290" s="11" t="n">
        <x:v>311</x:v>
      </x:c>
      <x:c r="I290" s="11" t="n">
        <x:v>407</x:v>
      </x:c>
      <x:c r="J290" s="11" t="n">
        <x:v>7295069</x:v>
      </x:c>
      <x:c r="K290" s="11" t="n">
        <x:v>7217047</x:v>
      </x:c>
      <x:c r="L290" s="11" t="n">
        <x:v>340120</x:v>
      </x:c>
      <x:c r="M290" s="11" t="n">
        <x:v>323458</x:v>
      </x:c>
      <x:c r="N290" s="11" t="n">
        <x:v>204434</x:v>
      </x:c>
      <x:c r="O290" s="11" t="n">
        <x:v>31134</x:v>
      </x:c>
      <x:c r="P290" s="11" t="n">
        <x:v>230</x:v>
      </x:c>
      <x:c r="Q290" s="2"/>
      <x:c r="R290" s="2"/>
      <x:c r="S290" s="2"/>
      <x:c r="T290" s="2"/>
      <x:c r="U290" s="2"/>
    </x:row>
    <x:row r="291" ht="26" customHeight="1">
      <x:c r="A291" s="2" t="str">
        <x:v>E10000018</x:v>
      </x:c>
      <x:c r="B291" s="2" t="str">
        <x:v>State-funded secondary</x:v>
      </x:c>
      <x:c r="C291" s="2" t="str">
        <x:v>Leicestershire</x:v>
      </x:c>
      <x:c r="D291" s="11" t="n">
        <x:v>40662</x:v>
      </x:c>
      <x:c r="E291" s="11" t="n">
        <x:v>40584</x:v>
      </x:c>
      <x:c r="F291" s="11" t="n">
        <x:v>8232</x:v>
      </x:c>
      <x:c r="G291" s="11" t="n">
        <x:v>8293</x:v>
      </x:c>
      <x:c r="H291" s="11" t="n">
        <x:v>1346</x:v>
      </x:c>
      <x:c r="I291" s="11" t="n">
        <x:v>1333</x:v>
      </x:c>
      <x:c r="J291" s="11" t="n">
        <x:v>6126408</x:v>
      </x:c>
      <x:c r="K291" s="11" t="n">
        <x:v>6098555</x:v>
      </x:c>
      <x:c r="L291" s="11" t="n">
        <x:v>477649</x:v>
      </x:c>
      <x:c r="M291" s="11" t="n">
        <x:v>473574</x:v>
      </x:c>
      <x:c r="N291" s="11" t="n">
        <x:v>255729</x:v>
      </x:c>
      <x:c r="O291" s="11" t="n">
        <x:v>107597</x:v>
      </x:c>
      <x:c r="P291" s="11" t="n">
        <x:v>43</x:v>
      </x:c>
      <x:c r="Q291" s="2"/>
      <x:c r="R291" s="2"/>
      <x:c r="S291" s="2"/>
      <x:c r="T291" s="2"/>
      <x:c r="U291" s="2"/>
    </x:row>
    <x:row r="292" ht="26" customHeight="1">
      <x:c r="A292" s="2" t="str">
        <x:v>E10000019</x:v>
      </x:c>
      <x:c r="B292" s="2" t="str">
        <x:v>State-funded primary</x:v>
      </x:c>
      <x:c r="C292" s="2" t="str">
        <x:v>Lincolnshire</x:v>
      </x:c>
      <x:c r="D292" s="11" t="n">
        <x:v>47865</x:v>
      </x:c>
      <x:c r="E292" s="11" t="n">
        <x:v>46822</x:v>
      </x:c>
      <x:c r="F292" s="11" t="n">
        <x:v>6506</x:v>
      </x:c>
      <x:c r="G292" s="11" t="n">
        <x:v>6313</x:v>
      </x:c>
      <x:c r="H292" s="11" t="n">
        <x:v>435</x:v>
      </x:c>
      <x:c r="I292" s="11" t="n">
        <x:v>490</x:v>
      </x:c>
      <x:c r="J292" s="11" t="n">
        <x:v>6624179</x:v>
      </x:c>
      <x:c r="K292" s="11" t="n">
        <x:v>6461887</x:v>
      </x:c>
      <x:c r="L292" s="11" t="n">
        <x:v>326237</x:v>
      </x:c>
      <x:c r="M292" s="11" t="n">
        <x:v>320358</x:v>
      </x:c>
      <x:c r="N292" s="11" t="n">
        <x:v>189686</x:v>
      </x:c>
      <x:c r="O292" s="11" t="n">
        <x:v>32992</x:v>
      </x:c>
      <x:c r="P292" s="11" t="n">
        <x:v>280</x:v>
      </x:c>
      <x:c r="Q292" s="2"/>
      <x:c r="R292" s="2"/>
      <x:c r="S292" s="2"/>
      <x:c r="T292" s="2"/>
      <x:c r="U292" s="2"/>
    </x:row>
    <x:row r="293" ht="26" customHeight="1">
      <x:c r="A293" s="2" t="str">
        <x:v>E10000019</x:v>
      </x:c>
      <x:c r="B293" s="2" t="str">
        <x:v>State-funded secondary</x:v>
      </x:c>
      <x:c r="C293" s="2" t="str">
        <x:v>Lincolnshire</x:v>
      </x:c>
      <x:c r="D293" s="11" t="n">
        <x:v>43743</x:v>
      </x:c>
      <x:c r="E293" s="11" t="n">
        <x:v>43756</x:v>
      </x:c>
      <x:c r="F293" s="11" t="n">
        <x:v>9505</x:v>
      </x:c>
      <x:c r="G293" s="11" t="n">
        <x:v>9665</x:v>
      </x:c>
      <x:c r="H293" s="11" t="n">
        <x:v>1385</x:v>
      </x:c>
      <x:c r="I293" s="11" t="n">
        <x:v>1287</x:v>
      </x:c>
      <x:c r="J293" s="11" t="n">
        <x:v>6045513</x:v>
      </x:c>
      <x:c r="K293" s="11" t="n">
        <x:v>6033971</x:v>
      </x:c>
      <x:c r="L293" s="11" t="n">
        <x:v>467447</x:v>
      </x:c>
      <x:c r="M293" s="11" t="n">
        <x:v>463198</x:v>
      </x:c>
      <x:c r="N293" s="11" t="n">
        <x:v>255356</x:v>
      </x:c>
      <x:c r="O293" s="11" t="n">
        <x:v>101095</x:v>
      </x:c>
      <x:c r="P293" s="11" t="n">
        <x:v>54</x:v>
      </x:c>
      <x:c r="Q293" s="2"/>
      <x:c r="R293" s="2"/>
      <x:c r="S293" s="2"/>
      <x:c r="T293" s="2"/>
      <x:c r="U293" s="2"/>
    </x:row>
    <x:row r="294" ht="26" customHeight="1">
      <x:c r="A294" s="2" t="str">
        <x:v>E10000020</x:v>
      </x:c>
      <x:c r="B294" s="2" t="str">
        <x:v>State-funded primary</x:v>
      </x:c>
      <x:c r="C294" s="2" t="str">
        <x:v>Norfolk</x:v>
      </x:c>
      <x:c r="D294" s="11" t="n">
        <x:v>53933</x:v>
      </x:c>
      <x:c r="E294" s="11" t="n">
        <x:v>52537</x:v>
      </x:c>
      <x:c r="F294" s="11" t="n">
        <x:v>7559</x:v>
      </x:c>
      <x:c r="G294" s="11" t="n">
        <x:v>7438</x:v>
      </x:c>
      <x:c r="H294" s="11" t="n">
        <x:v>569</x:v>
      </x:c>
      <x:c r="I294" s="11" t="n">
        <x:v>667</x:v>
      </x:c>
      <x:c r="J294" s="11" t="n">
        <x:v>7599049</x:v>
      </x:c>
      <x:c r="K294" s="11" t="n">
        <x:v>7463196</x:v>
      </x:c>
      <x:c r="L294" s="11" t="n">
        <x:v>394646</x:v>
      </x:c>
      <x:c r="M294" s="11" t="n">
        <x:v>388827</x:v>
      </x:c>
      <x:c r="N294" s="11" t="n">
        <x:v>218411</x:v>
      </x:c>
      <x:c r="O294" s="11" t="n">
        <x:v>42295</x:v>
      </x:c>
      <x:c r="P294" s="11" t="n">
        <x:v>343</x:v>
      </x:c>
      <x:c r="Q294" s="2"/>
      <x:c r="R294" s="2"/>
      <x:c r="S294" s="2"/>
      <x:c r="T294" s="2"/>
      <x:c r="U294" s="2"/>
    </x:row>
    <x:row r="295" ht="26" customHeight="1">
      <x:c r="A295" s="2" t="str">
        <x:v>E10000020</x:v>
      </x:c>
      <x:c r="B295" s="2" t="str">
        <x:v>State-funded secondary</x:v>
      </x:c>
      <x:c r="C295" s="2" t="str">
        <x:v>Norfolk</x:v>
      </x:c>
      <x:c r="D295" s="11" t="n">
        <x:v>46335</x:v>
      </x:c>
      <x:c r="E295" s="11" t="n">
        <x:v>46212</x:v>
      </x:c>
      <x:c r="F295" s="11" t="n">
        <x:v>10287</x:v>
      </x:c>
      <x:c r="G295" s="11" t="n">
        <x:v>10164</x:v>
      </x:c>
      <x:c r="H295" s="11" t="n">
        <x:v>1813</x:v>
      </x:c>
      <x:c r="I295" s="11" t="n">
        <x:v>1759</x:v>
      </x:c>
      <x:c r="J295" s="11" t="n">
        <x:v>6444350</x:v>
      </x:c>
      <x:c r="K295" s="11" t="n">
        <x:v>6369033</x:v>
      </x:c>
      <x:c r="L295" s="11" t="n">
        <x:v>537154</x:v>
      </x:c>
      <x:c r="M295" s="11" t="n">
        <x:v>529327</x:v>
      </x:c>
      <x:c r="N295" s="11" t="n">
        <x:v>288491</x:v>
      </x:c>
      <x:c r="O295" s="11" t="n">
        <x:v>121694</x:v>
      </x:c>
      <x:c r="P295" s="11" t="n">
        <x:v>53</x:v>
      </x:c>
      <x:c r="Q295" s="2"/>
      <x:c r="R295" s="2"/>
      <x:c r="S295" s="2"/>
      <x:c r="T295" s="2"/>
      <x:c r="U295" s="2"/>
    </x:row>
    <x:row r="296" ht="26" customHeight="1">
      <x:c r="A296" s="2" t="str">
        <x:v>E10000024</x:v>
      </x:c>
      <x:c r="B296" s="2" t="str">
        <x:v>State-funded primary</x:v>
      </x:c>
      <x:c r="C296" s="2" t="str">
        <x:v>Nottinghamshire</x:v>
      </x:c>
      <x:c r="D296" s="11" t="n">
        <x:v>57444</x:v>
      </x:c>
      <x:c r="E296" s="11" t="n">
        <x:v>56713</x:v>
      </x:c>
      <x:c r="F296" s="11" t="n">
        <x:v>8231</x:v>
      </x:c>
      <x:c r="G296" s="11" t="n">
        <x:v>7974</x:v>
      </x:c>
      <x:c r="H296" s="11" t="n">
        <x:v>458</x:v>
      </x:c>
      <x:c r="I296" s="11" t="n">
        <x:v>520</x:v>
      </x:c>
      <x:c r="J296" s="11" t="n">
        <x:v>7638565</x:v>
      </x:c>
      <x:c r="K296" s="11" t="n">
        <x:v>7548337</x:v>
      </x:c>
      <x:c r="L296" s="11" t="n">
        <x:v>375872</x:v>
      </x:c>
      <x:c r="M296" s="11" t="n">
        <x:v>370799</x:v>
      </x:c>
      <x:c r="N296" s="11" t="n">
        <x:v>211477</x:v>
      </x:c>
      <x:c r="O296" s="11" t="n">
        <x:v>40691</x:v>
      </x:c>
      <x:c r="P296" s="11" t="n">
        <x:v>286</x:v>
      </x:c>
      <x:c r="Q296" s="2"/>
      <x:c r="R296" s="2"/>
      <x:c r="S296" s="2"/>
      <x:c r="T296" s="2"/>
      <x:c r="U296" s="2"/>
    </x:row>
    <x:row r="297" ht="26" customHeight="1">
      <x:c r="A297" s="2" t="str">
        <x:v>E10000024</x:v>
      </x:c>
      <x:c r="B297" s="2" t="str">
        <x:v>State-funded secondary</x:v>
      </x:c>
      <x:c r="C297" s="2" t="str">
        <x:v>Nottinghamshire</x:v>
      </x:c>
      <x:c r="D297" s="11" t="n">
        <x:v>49054</x:v>
      </x:c>
      <x:c r="E297" s="11" t="n">
        <x:v>48894</x:v>
      </x:c>
      <x:c r="F297" s="11" t="n">
        <x:v>10554</x:v>
      </x:c>
      <x:c r="G297" s="11" t="n">
        <x:v>10582</x:v>
      </x:c>
      <x:c r="H297" s="11" t="n">
        <x:v>1599</x:v>
      </x:c>
      <x:c r="I297" s="11" t="n">
        <x:v>1516</x:v>
      </x:c>
      <x:c r="J297" s="11" t="n">
        <x:v>6426790</x:v>
      </x:c>
      <x:c r="K297" s="11" t="n">
        <x:v>6409348</x:v>
      </x:c>
      <x:c r="L297" s="11" t="n">
        <x:v>499444</x:v>
      </x:c>
      <x:c r="M297" s="11" t="n">
        <x:v>497337</x:v>
      </x:c>
      <x:c r="N297" s="11" t="n">
        <x:v>224952</x:v>
      </x:c>
      <x:c r="O297" s="11" t="n">
        <x:v>145236</x:v>
      </x:c>
      <x:c r="P297" s="11" t="n">
        <x:v>45</x:v>
      </x:c>
      <x:c r="Q297" s="2"/>
      <x:c r="R297" s="2"/>
      <x:c r="S297" s="2"/>
      <x:c r="T297" s="2"/>
      <x:c r="U297" s="2"/>
    </x:row>
    <x:row r="298" ht="26" customHeight="1">
      <x:c r="A298" s="2" t="str">
        <x:v>E10000025</x:v>
      </x:c>
      <x:c r="B298" s="2" t="str">
        <x:v>State-funded primary</x:v>
      </x:c>
      <x:c r="C298" s="2" t="str">
        <x:v>Oxfordshire</x:v>
      </x:c>
      <x:c r="D298" s="11" t="n">
        <x:v>45506</x:v>
      </x:c>
      <x:c r="E298" s="11" t="n">
        <x:v>44705</x:v>
      </x:c>
      <x:c r="F298" s="11" t="n">
        <x:v>6124</x:v>
      </x:c>
      <x:c r="G298" s="11" t="n">
        <x:v>5428</x:v>
      </x:c>
      <x:c r="H298" s="11" t="n">
        <x:v>417</x:v>
      </x:c>
      <x:c r="I298" s="11" t="n">
        <x:v>493</x:v>
      </x:c>
      <x:c r="J298" s="11" t="n">
        <x:v>6418118</x:v>
      </x:c>
      <x:c r="K298" s="11" t="n">
        <x:v>6304771</x:v>
      </x:c>
      <x:c r="L298" s="11" t="n">
        <x:v>324277</x:v>
      </x:c>
      <x:c r="M298" s="11" t="n">
        <x:v>301394</x:v>
      </x:c>
      <x:c r="N298" s="11" t="n">
        <x:v>174759</x:v>
      </x:c>
      <x:c r="O298" s="11" t="n">
        <x:v>27329</x:v>
      </x:c>
      <x:c r="P298" s="11" t="n">
        <x:v>242</x:v>
      </x:c>
      <x:c r="Q298" s="2"/>
      <x:c r="R298" s="2"/>
      <x:c r="S298" s="2"/>
      <x:c r="T298" s="2"/>
      <x:c r="U298" s="2"/>
    </x:row>
    <x:row r="299" ht="26" customHeight="1">
      <x:c r="A299" s="2" t="str">
        <x:v>E10000025</x:v>
      </x:c>
      <x:c r="B299" s="2" t="str">
        <x:v>State-funded secondary</x:v>
      </x:c>
      <x:c r="C299" s="2" t="str">
        <x:v>Oxfordshire</x:v>
      </x:c>
      <x:c r="D299" s="11" t="n">
        <x:v>38152</x:v>
      </x:c>
      <x:c r="E299" s="11" t="n">
        <x:v>38378</x:v>
      </x:c>
      <x:c r="F299" s="11" t="n">
        <x:v>8930</x:v>
      </x:c>
      <x:c r="G299" s="11" t="n">
        <x:v>8700</x:v>
      </x:c>
      <x:c r="H299" s="11" t="n">
        <x:v>1610</x:v>
      </x:c>
      <x:c r="I299" s="11" t="n">
        <x:v>1596</x:v>
      </x:c>
      <x:c r="J299" s="11" t="n">
        <x:v>5231779</x:v>
      </x:c>
      <x:c r="K299" s="11" t="n">
        <x:v>5254002</x:v>
      </x:c>
      <x:c r="L299" s="11" t="n">
        <x:v>466551</x:v>
      </x:c>
      <x:c r="M299" s="11" t="n">
        <x:v>457306</x:v>
      </x:c>
      <x:c r="N299" s="11" t="n">
        <x:v>228419</x:v>
      </x:c>
      <x:c r="O299" s="11" t="n">
        <x:v>109624</x:v>
      </x:c>
      <x:c r="P299" s="11" t="n">
        <x:v>42</x:v>
      </x:c>
      <x:c r="Q299" s="2"/>
      <x:c r="R299" s="2"/>
      <x:c r="S299" s="2"/>
      <x:c r="T299" s="2"/>
      <x:c r="U299" s="2"/>
    </x:row>
    <x:row r="300" ht="26" customHeight="1">
      <x:c r="A300" s="2" t="str">
        <x:v>E10000028</x:v>
      </x:c>
      <x:c r="B300" s="2" t="str">
        <x:v>State-funded primary</x:v>
      </x:c>
      <x:c r="C300" s="2" t="str">
        <x:v>Staffordshire</x:v>
      </x:c>
      <x:c r="D300" s="11" t="n">
        <x:v>54366</x:v>
      </x:c>
      <x:c r="E300" s="11" t="n">
        <x:v>53813</x:v>
      </x:c>
      <x:c r="F300" s="11" t="n">
        <x:v>6941</x:v>
      </x:c>
      <x:c r="G300" s="11" t="n">
        <x:v>6975</x:v>
      </x:c>
      <x:c r="H300" s="11" t="n">
        <x:v>319</x:v>
      </x:c>
      <x:c r="I300" s="11" t="n">
        <x:v>350</x:v>
      </x:c>
      <x:c r="J300" s="11" t="n">
        <x:v>7734790</x:v>
      </x:c>
      <x:c r="K300" s="11" t="n">
        <x:v>7676306</x:v>
      </x:c>
      <x:c r="L300" s="11" t="n">
        <x:v>363259</x:v>
      </x:c>
      <x:c r="M300" s="11" t="n">
        <x:v>368909</x:v>
      </x:c>
      <x:c r="N300" s="11" t="n">
        <x:v>244780</x:v>
      </x:c>
      <x:c r="O300" s="11" t="n">
        <x:v>28397</x:v>
      </x:c>
      <x:c r="P300" s="11" t="n">
        <x:v>307</x:v>
      </x:c>
      <x:c r="Q300" s="2"/>
      <x:c r="R300" s="2"/>
      <x:c r="S300" s="2"/>
      <x:c r="T300" s="2"/>
      <x:c r="U300" s="2"/>
    </x:row>
    <x:row r="301" ht="26" customHeight="1">
      <x:c r="A301" s="2" t="str">
        <x:v>E10000028</x:v>
      </x:c>
      <x:c r="B301" s="2" t="str">
        <x:v>State-funded secondary</x:v>
      </x:c>
      <x:c r="C301" s="2" t="str">
        <x:v>Staffordshire</x:v>
      </x:c>
      <x:c r="D301" s="11" t="n">
        <x:v>51579</x:v>
      </x:c>
      <x:c r="E301" s="11" t="n">
        <x:v>51850</x:v>
      </x:c>
      <x:c r="F301" s="11" t="n">
        <x:v>10207</x:v>
      </x:c>
      <x:c r="G301" s="11" t="n">
        <x:v>10520</x:v>
      </x:c>
      <x:c r="H301" s="11" t="n">
        <x:v>1290</x:v>
      </x:c>
      <x:c r="I301" s="11" t="n">
        <x:v>1276</x:v>
      </x:c>
      <x:c r="J301" s="11" t="n">
        <x:v>7240607</x:v>
      </x:c>
      <x:c r="K301" s="11" t="n">
        <x:v>7277139</x:v>
      </x:c>
      <x:c r="L301" s="11" t="n">
        <x:v>514533</x:v>
      </x:c>
      <x:c r="M301" s="11" t="n">
        <x:v>524353</x:v>
      </x:c>
      <x:c r="N301" s="11" t="n">
        <x:v>304000</x:v>
      </x:c>
      <x:c r="O301" s="11" t="n">
        <x:v>104108</x:v>
      </x:c>
      <x:c r="P301" s="11" t="n">
        <x:v>71</x:v>
      </x:c>
      <x:c r="Q301" s="2"/>
      <x:c r="R301" s="2"/>
      <x:c r="S301" s="2"/>
      <x:c r="T301" s="2"/>
      <x:c r="U301" s="2"/>
    </x:row>
    <x:row r="302" ht="26" customHeight="1">
      <x:c r="A302" s="2" t="str">
        <x:v>E10000029</x:v>
      </x:c>
      <x:c r="B302" s="2" t="str">
        <x:v>State-funded primary</x:v>
      </x:c>
      <x:c r="C302" s="2" t="str">
        <x:v>Suffolk</x:v>
      </x:c>
      <x:c r="D302" s="11" t="n">
        <x:v>47157</x:v>
      </x:c>
      <x:c r="E302" s="11" t="n">
        <x:v>46478</x:v>
      </x:c>
      <x:c r="F302" s="11" t="n">
        <x:v>6630</x:v>
      </x:c>
      <x:c r="G302" s="11" t="n">
        <x:v>6188</x:v>
      </x:c>
      <x:c r="H302" s="11" t="n">
        <x:v>462</x:v>
      </x:c>
      <x:c r="I302" s="11" t="n">
        <x:v>517</x:v>
      </x:c>
      <x:c r="J302" s="11" t="n">
        <x:v>6651860</x:v>
      </x:c>
      <x:c r="K302" s="11" t="n">
        <x:v>6540049</x:v>
      </x:c>
      <x:c r="L302" s="11" t="n">
        <x:v>337225</x:v>
      </x:c>
      <x:c r="M302" s="11" t="n">
        <x:v>324545</x:v>
      </x:c>
      <x:c r="N302" s="11" t="n">
        <x:v>182824</x:v>
      </x:c>
      <x:c r="O302" s="11" t="n">
        <x:v>32398</x:v>
      </x:c>
      <x:c r="P302" s="11" t="n">
        <x:v>253</x:v>
      </x:c>
      <x:c r="Q302" s="2"/>
      <x:c r="R302" s="2"/>
      <x:c r="S302" s="2"/>
      <x:c r="T302" s="2"/>
      <x:c r="U302" s="2"/>
    </x:row>
    <x:row r="303" ht="26" customHeight="1">
      <x:c r="A303" s="2" t="str">
        <x:v>E10000029</x:v>
      </x:c>
      <x:c r="B303" s="2" t="str">
        <x:v>State-funded secondary</x:v>
      </x:c>
      <x:c r="C303" s="2" t="str">
        <x:v>Suffolk</x:v>
      </x:c>
      <x:c r="D303" s="11" t="n">
        <x:v>39717</x:v>
      </x:c>
      <x:c r="E303" s="11" t="n">
        <x:v>39541</x:v>
      </x:c>
      <x:c r="F303" s="11" t="n">
        <x:v>8969</x:v>
      </x:c>
      <x:c r="G303" s="11" t="n">
        <x:v>9038</x:v>
      </x:c>
      <x:c r="H303" s="11" t="n">
        <x:v>1535</x:v>
      </x:c>
      <x:c r="I303" s="11" t="n">
        <x:v>1554</x:v>
      </x:c>
      <x:c r="J303" s="11" t="n">
        <x:v>5521840</x:v>
      </x:c>
      <x:c r="K303" s="11" t="n">
        <x:v>5467514</x:v>
      </x:c>
      <x:c r="L303" s="11" t="n">
        <x:v>466708</x:v>
      </x:c>
      <x:c r="M303" s="11" t="n">
        <x:v>461941</x:v>
      </x:c>
      <x:c r="N303" s="11" t="n">
        <x:v>223952</x:v>
      </x:c>
      <x:c r="O303" s="11" t="n">
        <x:v>122026</x:v>
      </x:c>
      <x:c r="P303" s="11" t="n">
        <x:v>43</x:v>
      </x:c>
      <x:c r="Q303" s="2"/>
      <x:c r="R303" s="2"/>
      <x:c r="S303" s="2"/>
      <x:c r="T303" s="2"/>
      <x:c r="U303" s="2"/>
    </x:row>
    <x:row r="304" ht="26" customHeight="1">
      <x:c r="A304" s="2" t="str">
        <x:v>E10000030</x:v>
      </x:c>
      <x:c r="B304" s="2" t="str">
        <x:v>State-funded primary</x:v>
      </x:c>
      <x:c r="C304" s="2" t="str">
        <x:v>Surrey</x:v>
      </x:c>
      <x:c r="D304" s="11" t="n">
        <x:v>76138</x:v>
      </x:c>
      <x:c r="E304" s="11" t="n">
        <x:v>74639</x:v>
      </x:c>
      <x:c r="F304" s="11" t="n">
        <x:v>9329</x:v>
      </x:c>
      <x:c r="G304" s="11" t="n">
        <x:v>8874</x:v>
      </x:c>
      <x:c r="H304" s="11" t="n">
        <x:v>660</x:v>
      </x:c>
      <x:c r="I304" s="11" t="n">
        <x:v>702</x:v>
      </x:c>
      <x:c r="J304" s="11" t="n">
        <x:v>10705611</x:v>
      </x:c>
      <x:c r="K304" s="11" t="n">
        <x:v>10320741</x:v>
      </x:c>
      <x:c r="L304" s="11" t="n">
        <x:v>516735</x:v>
      </x:c>
      <x:c r="M304" s="11" t="n">
        <x:v>485532</x:v>
      </x:c>
      <x:c r="N304" s="11" t="n">
        <x:v>294014</x:v>
      </x:c>
      <x:c r="O304" s="11" t="n">
        <x:v>47332</x:v>
      </x:c>
      <x:c r="P304" s="11" t="n">
        <x:v>298</x:v>
      </x:c>
      <x:c r="Q304" s="2"/>
      <x:c r="R304" s="2"/>
      <x:c r="S304" s="2"/>
      <x:c r="T304" s="2"/>
      <x:c r="U304" s="2"/>
    </x:row>
    <x:row r="305" ht="26" customHeight="1">
      <x:c r="A305" s="2" t="str">
        <x:v>E10000030</x:v>
      </x:c>
      <x:c r="B305" s="2" t="str">
        <x:v>State-funded secondary</x:v>
      </x:c>
      <x:c r="C305" s="2" t="str">
        <x:v>Surrey</x:v>
      </x:c>
      <x:c r="D305" s="11" t="n">
        <x:v>61346</x:v>
      </x:c>
      <x:c r="E305" s="11" t="n">
        <x:v>61337</x:v>
      </x:c>
      <x:c r="F305" s="11" t="n">
        <x:v>10759</x:v>
      </x:c>
      <x:c r="G305" s="11" t="n">
        <x:v>11125</x:v>
      </x:c>
      <x:c r="H305" s="11" t="n">
        <x:v>1579</x:v>
      </x:c>
      <x:c r="I305" s="11" t="n">
        <x:v>1574</x:v>
      </x:c>
      <x:c r="J305" s="11" t="n">
        <x:v>8360504</x:v>
      </x:c>
      <x:c r="K305" s="11" t="n">
        <x:v>8217238</x:v>
      </x:c>
      <x:c r="L305" s="11" t="n">
        <x:v>566972</x:v>
      </x:c>
      <x:c r="M305" s="11" t="n">
        <x:v>555527</x:v>
      </x:c>
      <x:c r="N305" s="11" t="n">
        <x:v>309240</x:v>
      </x:c>
      <x:c r="O305" s="11" t="n">
        <x:v>111158</x:v>
      </x:c>
      <x:c r="P305" s="11" t="n">
        <x:v>58</x:v>
      </x:c>
      <x:c r="Q305" s="2"/>
      <x:c r="R305" s="2"/>
      <x:c r="S305" s="2"/>
      <x:c r="T305" s="2"/>
      <x:c r="U305" s="2"/>
    </x:row>
    <x:row r="306" ht="26" customHeight="1">
      <x:c r="A306" s="2" t="str">
        <x:v>E10000031</x:v>
      </x:c>
      <x:c r="B306" s="2" t="str">
        <x:v>State-funded primary</x:v>
      </x:c>
      <x:c r="C306" s="2" t="str">
        <x:v>Warwickshire</x:v>
      </x:c>
      <x:c r="D306" s="11" t="n">
        <x:v>40761</x:v>
      </x:c>
      <x:c r="E306" s="11" t="n">
        <x:v>40451</x:v>
      </x:c>
      <x:c r="F306" s="11" t="n">
        <x:v>5753</x:v>
      </x:c>
      <x:c r="G306" s="11" t="n">
        <x:v>5489</x:v>
      </x:c>
      <x:c r="H306" s="11" t="n">
        <x:v>384</x:v>
      </x:c>
      <x:c r="I306" s="11" t="n">
        <x:v>432</x:v>
      </x:c>
      <x:c r="J306" s="11" t="n">
        <x:v>5783911</x:v>
      </x:c>
      <x:c r="K306" s="11" t="n">
        <x:v>5737267</x:v>
      </x:c>
      <x:c r="L306" s="11" t="n">
        <x:v>296890</x:v>
      </x:c>
      <x:c r="M306" s="11" t="n">
        <x:v>289848</x:v>
      </x:c>
      <x:c r="N306" s="11" t="n">
        <x:v>178562</x:v>
      </x:c>
      <x:c r="O306" s="11" t="n">
        <x:v>30570</x:v>
      </x:c>
      <x:c r="P306" s="11" t="n">
        <x:v>196</x:v>
      </x:c>
      <x:c r="Q306" s="2"/>
      <x:c r="R306" s="2"/>
      <x:c r="S306" s="2"/>
      <x:c r="T306" s="2"/>
      <x:c r="U306" s="2"/>
    </x:row>
    <x:row r="307" ht="26" customHeight="1">
      <x:c r="A307" s="2" t="str">
        <x:v>E10000031</x:v>
      </x:c>
      <x:c r="B307" s="2" t="str">
        <x:v>State-funded secondary</x:v>
      </x:c>
      <x:c r="C307" s="2" t="str">
        <x:v>Warwickshire</x:v>
      </x:c>
      <x:c r="D307" s="11" t="n">
        <x:v>35364</x:v>
      </x:c>
      <x:c r="E307" s="11" t="n">
        <x:v>35627</x:v>
      </x:c>
      <x:c r="F307" s="11" t="n">
        <x:v>7493</x:v>
      </x:c>
      <x:c r="G307" s="11" t="n">
        <x:v>7660</x:v>
      </x:c>
      <x:c r="H307" s="11" t="n">
        <x:v>1423</x:v>
      </x:c>
      <x:c r="I307" s="11" t="n">
        <x:v>1445</x:v>
      </x:c>
      <x:c r="J307" s="11" t="n">
        <x:v>4921398</x:v>
      </x:c>
      <x:c r="K307" s="11" t="n">
        <x:v>4942960</x:v>
      </x:c>
      <x:c r="L307" s="11" t="n">
        <x:v>411301</x:v>
      </x:c>
      <x:c r="M307" s="11" t="n">
        <x:v>413827</x:v>
      </x:c>
      <x:c r="N307" s="11" t="n">
        <x:v>227046</x:v>
      </x:c>
      <x:c r="O307" s="11" t="n">
        <x:v>105692</x:v>
      </x:c>
      <x:c r="P307" s="11" t="n">
        <x:v>39</x:v>
      </x:c>
      <x:c r="Q307" s="2"/>
      <x:c r="R307" s="2"/>
      <x:c r="S307" s="2"/>
      <x:c r="T307" s="2"/>
      <x:c r="U307" s="2"/>
    </x:row>
    <x:row r="308" ht="26" customHeight="1">
      <x:c r="A308" s="2" t="str">
        <x:v>E10000032</x:v>
      </x:c>
      <x:c r="B308" s="2" t="str">
        <x:v>State-funded primary</x:v>
      </x:c>
      <x:c r="C308" s="2" t="str">
        <x:v>West Sussex</x:v>
      </x:c>
      <x:c r="D308" s="11" t="n">
        <x:v>54836</x:v>
      </x:c>
      <x:c r="E308" s="11" t="n">
        <x:v>54815</x:v>
      </x:c>
      <x:c r="F308" s="11" t="n">
        <x:v>7263</x:v>
      </x:c>
      <x:c r="G308" s="11" t="n">
        <x:v>7351</x:v>
      </x:c>
      <x:c r="H308" s="11" t="n">
        <x:v>417</x:v>
      </x:c>
      <x:c r="I308" s="11" t="n">
        <x:v>539</x:v>
      </x:c>
      <x:c r="J308" s="11" t="n">
        <x:v>7794942</x:v>
      </x:c>
      <x:c r="K308" s="11" t="n">
        <x:v>7610641</x:v>
      </x:c>
      <x:c r="L308" s="11" t="n">
        <x:v>383856</x:v>
      </x:c>
      <x:c r="M308" s="11" t="n">
        <x:v>384286</x:v>
      </x:c>
      <x:c r="N308" s="11" t="n">
        <x:v>235585</x:v>
      </x:c>
      <x:c r="O308" s="11" t="n">
        <x:v>33432</x:v>
      </x:c>
      <x:c r="P308" s="11" t="n">
        <x:v>226</x:v>
      </x:c>
      <x:c r="Q308" s="2"/>
      <x:c r="R308" s="2"/>
      <x:c r="S308" s="2"/>
      <x:c r="T308" s="2"/>
      <x:c r="U308" s="2"/>
    </x:row>
    <x:row r="309" ht="26" customHeight="1">
      <x:c r="A309" s="2" t="str">
        <x:v>E10000032</x:v>
      </x:c>
      <x:c r="B309" s="2" t="str">
        <x:v>State-funded secondary</x:v>
      </x:c>
      <x:c r="C309" s="2" t="str">
        <x:v>West Sussex</x:v>
      </x:c>
      <x:c r="D309" s="11" t="n">
        <x:v>47524</x:v>
      </x:c>
      <x:c r="E309" s="11" t="n">
        <x:v>47248</x:v>
      </x:c>
      <x:c r="F309" s="11" t="n">
        <x:v>10234</x:v>
      </x:c>
      <x:c r="G309" s="11" t="n">
        <x:v>10189</x:v>
      </x:c>
      <x:c r="H309" s="11" t="n">
        <x:v>1530</x:v>
      </x:c>
      <x:c r="I309" s="11" t="n">
        <x:v>1502</x:v>
      </x:c>
      <x:c r="J309" s="11" t="n">
        <x:v>6574192</x:v>
      </x:c>
      <x:c r="K309" s="11" t="n">
        <x:v>6341049</x:v>
      </x:c>
      <x:c r="L309" s="11" t="n">
        <x:v>516116</x:v>
      </x:c>
      <x:c r="M309" s="11" t="n">
        <x:v>491992</x:v>
      </x:c>
      <x:c r="N309" s="11" t="n">
        <x:v>257562</x:v>
      </x:c>
      <x:c r="O309" s="11" t="n">
        <x:v>111829</x:v>
      </x:c>
      <x:c r="P309" s="11" t="n">
        <x:v>40</x:v>
      </x:c>
      <x:c r="Q309" s="2"/>
      <x:c r="R309" s="2"/>
      <x:c r="S309" s="2"/>
      <x:c r="T309" s="2"/>
      <x:c r="U309" s="2"/>
    </x:row>
    <x:row r="310" ht="26" customHeight="1">
      <x:c r="A310" s="2" t="str">
        <x:v>E10000034</x:v>
      </x:c>
      <x:c r="B310" s="2" t="str">
        <x:v>State-funded primary</x:v>
      </x:c>
      <x:c r="C310" s="2" t="str">
        <x:v>Worcestershire</x:v>
      </x:c>
      <x:c r="D310" s="11" t="n">
        <x:v>33935</x:v>
      </x:c>
      <x:c r="E310" s="11" t="n">
        <x:v>33224</x:v>
      </x:c>
      <x:c r="F310" s="11" t="n">
        <x:v>4848</x:v>
      </x:c>
      <x:c r="G310" s="11" t="n">
        <x:v>4368</x:v>
      </x:c>
      <x:c r="H310" s="11" t="n">
        <x:v>257</x:v>
      </x:c>
      <x:c r="I310" s="11" t="n">
        <x:v>330</x:v>
      </x:c>
      <x:c r="J310" s="11" t="n">
        <x:v>4822770</x:v>
      </x:c>
      <x:c r="K310" s="11" t="n">
        <x:v>4715804</x:v>
      </x:c>
      <x:c r="L310" s="11" t="n">
        <x:v>250000</x:v>
      </x:c>
      <x:c r="M310" s="11" t="n">
        <x:v>234859</x:v>
      </x:c>
      <x:c r="N310" s="11" t="n">
        <x:v>139239</x:v>
      </x:c>
      <x:c r="O310" s="11" t="n">
        <x:v>25250</x:v>
      </x:c>
      <x:c r="P310" s="11" t="n">
        <x:v>180</x:v>
      </x:c>
      <x:c r="Q310" s="2"/>
      <x:c r="R310" s="2"/>
      <x:c r="S310" s="2"/>
      <x:c r="T310" s="2"/>
      <x:c r="U310" s="2"/>
    </x:row>
    <x:row r="311" ht="26" customHeight="1">
      <x:c r="A311" s="2" t="str">
        <x:v>E10000034</x:v>
      </x:c>
      <x:c r="B311" s="2" t="str">
        <x:v>State-funded secondary</x:v>
      </x:c>
      <x:c r="C311" s="2" t="str">
        <x:v>Worcestershire</x:v>
      </x:c>
      <x:c r="D311" s="11" t="n">
        <x:v>35226</x:v>
      </x:c>
      <x:c r="E311" s="11" t="n">
        <x:v>35193</x:v>
      </x:c>
      <x:c r="F311" s="11" t="n">
        <x:v>7762</x:v>
      </x:c>
      <x:c r="G311" s="11" t="n">
        <x:v>7479</x:v>
      </x:c>
      <x:c r="H311" s="11" t="n">
        <x:v>1088</x:v>
      </x:c>
      <x:c r="I311" s="11" t="n">
        <x:v>1156</x:v>
      </x:c>
      <x:c r="J311" s="11" t="n">
        <x:v>4879319</x:v>
      </x:c>
      <x:c r="K311" s="11" t="n">
        <x:v>4900342</x:v>
      </x:c>
      <x:c r="L311" s="11" t="n">
        <x:v>383636</x:v>
      </x:c>
      <x:c r="M311" s="11" t="n">
        <x:v>382955</x:v>
      </x:c>
      <x:c r="N311" s="11" t="n">
        <x:v>223344</x:v>
      </x:c>
      <x:c r="O311" s="11" t="n">
        <x:v>69883</x:v>
      </x:c>
      <x:c r="P311" s="11" t="n">
        <x:v>45</x:v>
      </x:c>
      <x:c r="Q311" s="2"/>
      <x:c r="R311" s="2"/>
      <x:c r="S311" s="2"/>
      <x:c r="T311" s="2"/>
      <x:c r="U311" s="2"/>
    </x:row>
    <x:row r="312" ht="26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  <x:c r="M312" s="2"/>
      <x:c r="N312" s="2"/>
      <x:c r="O312" s="2"/>
      <x:c r="P312" s="2"/>
      <x:c r="Q312" s="2"/>
      <x:c r="R312" s="2"/>
      <x:c r="S312" s="2"/>
      <x:c r="T312" s="2"/>
      <x:c r="U312" s="2"/>
    </x:row>
    <x:row r="313" ht="26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</x:row>
    <x:row r="314" ht="26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</x:row>
    <x:row r="315" ht="26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</x:row>
    <x:row r="316" ht="26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  <x:c r="M316" s="2"/>
      <x:c r="N316" s="2"/>
      <x:c r="O316" s="2"/>
      <x:c r="P316" s="2"/>
      <x:c r="Q316" s="2"/>
      <x:c r="R316" s="2"/>
      <x:c r="S316" s="2"/>
      <x:c r="T316" s="2"/>
      <x:c r="U316" s="2"/>
    </x:row>
    <x:row r="317" ht="26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  <x:c r="M317" s="2"/>
      <x:c r="N317" s="2"/>
      <x:c r="O317" s="2"/>
      <x:c r="P317" s="2"/>
      <x:c r="Q317" s="2"/>
      <x:c r="R317" s="2"/>
      <x:c r="S317" s="2"/>
      <x:c r="T317" s="2"/>
      <x:c r="U317" s="2"/>
    </x:row>
    <x:row r="318" ht="26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  <x:c r="M318" s="2"/>
      <x:c r="N318" s="2"/>
      <x:c r="O318" s="2"/>
      <x:c r="P318" s="2"/>
      <x:c r="Q318" s="2"/>
      <x:c r="R318" s="2"/>
      <x:c r="S318" s="2"/>
      <x:c r="T318" s="2"/>
      <x:c r="U318" s="2"/>
    </x:row>
    <x:row r="319" ht="26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</x:row>
    <x:row r="320" ht="26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</x:row>
    <x:row r="321" ht="26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</x:row>
    <x:row r="322" ht="26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</x:row>
    <x:row r="323" ht="26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</x:row>
    <x:row r="324" ht="26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</x:row>
    <x:row r="325" ht="26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</x:row>
    <x:row r="326" ht="26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</x:row>
    <x:row r="327" ht="26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</x:row>
    <x:row r="328" ht="26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</x:row>
    <x:row r="329" ht="26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</x:row>
    <x:row r="330" ht="26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</x:row>
  </x:sheetData>
  <x:pageMargins left="0.7" right="0.7" top="0.75" bottom="0.75" header="0.3" footer="0.3"/>
</x:worksheet>
</file>